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Import" sheetId="1" state="visible" r:id="rId1"/>
    <sheet name="Clean Data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  <color rgb="001F4E78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3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'Report'!E10</f>
            </strRef>
          </tx>
          <spPr>
            <a:ln>
              <a:prstDash val="solid"/>
            </a:ln>
          </spPr>
          <cat>
            <numRef>
              <f>'Report'!$A$11:$A$14</f>
            </numRef>
          </cat>
          <val>
            <numRef>
              <f>'Report'!$E$11:$E$14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</cols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Price</t>
        </is>
      </c>
    </row>
    <row r="2">
      <c r="A2" t="inlineStr">
        <is>
          <t xml:space="preserve">  north </t>
        </is>
      </c>
      <c r="B2" t="inlineStr">
        <is>
          <t>laptop</t>
        </is>
      </c>
      <c r="C2" t="n">
        <v>5</v>
      </c>
      <c r="D2" t="n">
        <v>60000</v>
      </c>
    </row>
    <row r="3">
      <c r="A3" t="inlineStr">
        <is>
          <t>South</t>
        </is>
      </c>
      <c r="B3" t="inlineStr">
        <is>
          <t xml:space="preserve">PHONE </t>
        </is>
      </c>
      <c r="C3" t="n">
        <v>20</v>
      </c>
      <c r="D3" t="n">
        <v>30000</v>
      </c>
    </row>
    <row r="4">
      <c r="A4" t="inlineStr">
        <is>
          <t xml:space="preserve">east  </t>
        </is>
      </c>
      <c r="B4" t="inlineStr">
        <is>
          <t>Laptop</t>
        </is>
      </c>
      <c r="C4" t="n">
        <v>8</v>
      </c>
      <c r="D4" t="n">
        <v>60000</v>
      </c>
    </row>
    <row r="5">
      <c r="A5" t="inlineStr">
        <is>
          <t xml:space="preserve"> North</t>
        </is>
      </c>
      <c r="B5" t="inlineStr">
        <is>
          <t>tablet</t>
        </is>
      </c>
      <c r="C5" t="n">
        <v>15</v>
      </c>
      <c r="D5" t="n">
        <v>20000</v>
      </c>
    </row>
    <row r="6">
      <c r="A6" t="inlineStr">
        <is>
          <t>south</t>
        </is>
      </c>
      <c r="B6" t="inlineStr">
        <is>
          <t>laptop</t>
        </is>
      </c>
      <c r="C6" t="n">
        <v>3</v>
      </c>
      <c r="D6" t="n">
        <v>60000</v>
      </c>
    </row>
    <row r="7">
      <c r="A7" t="inlineStr">
        <is>
          <t>East</t>
        </is>
      </c>
      <c r="B7" t="inlineStr">
        <is>
          <t>phone</t>
        </is>
      </c>
      <c r="C7" t="n">
        <v>2</v>
      </c>
      <c r="D7" t="n">
        <v>30000</v>
      </c>
    </row>
    <row r="8">
      <c r="A8" t="inlineStr">
        <is>
          <t xml:space="preserve"> west </t>
        </is>
      </c>
      <c r="B8" t="inlineStr">
        <is>
          <t>LAPTOP</t>
        </is>
      </c>
      <c r="C8" t="n">
        <v>6</v>
      </c>
      <c r="D8" t="n">
        <v>60000</v>
      </c>
    </row>
    <row r="9">
      <c r="A9" t="inlineStr">
        <is>
          <t>West</t>
        </is>
      </c>
      <c r="B9" t="inlineStr">
        <is>
          <t xml:space="preserve">tablet </t>
        </is>
      </c>
      <c r="C9" t="n">
        <v>3</v>
      </c>
      <c r="D9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Classification</t>
        </is>
      </c>
    </row>
    <row r="2">
      <c r="A2">
        <f>PROPER(TRIM('Raw Import'!A2))</f>
        <v/>
      </c>
      <c r="B2">
        <f>PROPER(TRIM('Raw Import'!B2))</f>
        <v/>
      </c>
      <c r="C2" s="2">
        <f>'Raw Import'!C2</f>
        <v/>
      </c>
      <c r="D2" s="3">
        <f>'Raw Import'!D2</f>
        <v/>
      </c>
      <c r="E2" s="3">
        <f>C2*D2</f>
        <v/>
      </c>
      <c r="F2" s="2">
        <f>IF(E2&gt;=100000,"High","Standard")</f>
        <v/>
      </c>
    </row>
    <row r="3">
      <c r="A3">
        <f>PROPER(TRIM('Raw Import'!A3))</f>
        <v/>
      </c>
      <c r="B3">
        <f>PROPER(TRIM('Raw Import'!B3))</f>
        <v/>
      </c>
      <c r="C3" s="2">
        <f>'Raw Import'!C3</f>
        <v/>
      </c>
      <c r="D3" s="3">
        <f>'Raw Import'!D3</f>
        <v/>
      </c>
      <c r="E3" s="3">
        <f>C3*D3</f>
        <v/>
      </c>
      <c r="F3" s="2">
        <f>IF(E3&gt;=100000,"High","Standard")</f>
        <v/>
      </c>
    </row>
    <row r="4">
      <c r="A4">
        <f>PROPER(TRIM('Raw Import'!A4))</f>
        <v/>
      </c>
      <c r="B4">
        <f>PROPER(TRIM('Raw Import'!B4))</f>
        <v/>
      </c>
      <c r="C4" s="2">
        <f>'Raw Import'!C4</f>
        <v/>
      </c>
      <c r="D4" s="3">
        <f>'Raw Import'!D4</f>
        <v/>
      </c>
      <c r="E4" s="3">
        <f>C4*D4</f>
        <v/>
      </c>
      <c r="F4" s="2">
        <f>IF(E4&gt;=100000,"High","Standard")</f>
        <v/>
      </c>
    </row>
    <row r="5">
      <c r="A5">
        <f>PROPER(TRIM('Raw Import'!A5))</f>
        <v/>
      </c>
      <c r="B5">
        <f>PROPER(TRIM('Raw Import'!B5))</f>
        <v/>
      </c>
      <c r="C5" s="2">
        <f>'Raw Import'!C5</f>
        <v/>
      </c>
      <c r="D5" s="3">
        <f>'Raw Import'!D5</f>
        <v/>
      </c>
      <c r="E5" s="3">
        <f>C5*D5</f>
        <v/>
      </c>
      <c r="F5" s="2">
        <f>IF(E5&gt;=100000,"High","Standard")</f>
        <v/>
      </c>
    </row>
    <row r="6">
      <c r="A6">
        <f>PROPER(TRIM('Raw Import'!A6))</f>
        <v/>
      </c>
      <c r="B6">
        <f>PROPER(TRIM('Raw Import'!B6))</f>
        <v/>
      </c>
      <c r="C6" s="2">
        <f>'Raw Import'!C6</f>
        <v/>
      </c>
      <c r="D6" s="3">
        <f>'Raw Import'!D6</f>
        <v/>
      </c>
      <c r="E6" s="3">
        <f>C6*D6</f>
        <v/>
      </c>
      <c r="F6" s="2">
        <f>IF(E6&gt;=100000,"High","Standard")</f>
        <v/>
      </c>
    </row>
    <row r="7">
      <c r="A7">
        <f>PROPER(TRIM('Raw Import'!A7))</f>
        <v/>
      </c>
      <c r="B7">
        <f>PROPER(TRIM('Raw Import'!B7))</f>
        <v/>
      </c>
      <c r="C7" s="2">
        <f>'Raw Import'!C7</f>
        <v/>
      </c>
      <c r="D7" s="3">
        <f>'Raw Import'!D7</f>
        <v/>
      </c>
      <c r="E7" s="3">
        <f>C7*D7</f>
        <v/>
      </c>
      <c r="F7" s="2">
        <f>IF(E7&gt;=100000,"High","Standard")</f>
        <v/>
      </c>
    </row>
    <row r="8">
      <c r="A8">
        <f>PROPER(TRIM('Raw Import'!A8))</f>
        <v/>
      </c>
      <c r="B8">
        <f>PROPER(TRIM('Raw Import'!B8))</f>
        <v/>
      </c>
      <c r="C8" s="2">
        <f>'Raw Import'!C8</f>
        <v/>
      </c>
      <c r="D8" s="3">
        <f>'Raw Import'!D8</f>
        <v/>
      </c>
      <c r="E8" s="3">
        <f>C8*D8</f>
        <v/>
      </c>
      <c r="F8" s="2">
        <f>IF(E8&gt;=100000,"High","Standard")</f>
        <v/>
      </c>
    </row>
    <row r="9">
      <c r="A9">
        <f>PROPER(TRIM('Raw Import'!A9))</f>
        <v/>
      </c>
      <c r="B9">
        <f>PROPER(TRIM('Raw Import'!B9))</f>
        <v/>
      </c>
      <c r="C9" s="2">
        <f>'Raw Import'!C9</f>
        <v/>
      </c>
      <c r="D9" s="3">
        <f>'Raw Import'!D9</f>
        <v/>
      </c>
      <c r="E9" s="3">
        <f>C9*D9</f>
        <v/>
      </c>
      <c r="F9" s="2">
        <f>IF(E9&gt;=100000,"High","Standard")</f>
        <v/>
      </c>
    </row>
  </sheetData>
  <conditionalFormatting sqref="F2:F9">
    <cfRule type="expression" priority="1" dxfId="0">
      <formula>$F2="High"</formula>
    </cfRule>
  </conditionalFormatting>
  <dataValidations count="1">
    <dataValidation sqref="A2:A9" showDropDown="0" showInputMessage="0" showErrorMessage="1" allowBlank="1" errorTitle="Invalid Region" error="Region must be one of: North, South, East, West" promptTitle="Region" prompt="Choose a valid region" type="list">
      <formula1>"North,South,East,West"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Sales Analysis — One-Page Business Report</t>
        </is>
      </c>
    </row>
    <row r="3">
      <c r="A3" s="5" t="inlineStr">
        <is>
          <t>Key Performance Indicators</t>
        </is>
      </c>
    </row>
    <row r="4">
      <c r="A4" s="6" t="inlineStr">
        <is>
          <t>Total Revenue</t>
        </is>
      </c>
      <c r="B4" s="7">
        <f>SUM('Clean Data'!$E$2:$E$9)</f>
        <v/>
      </c>
    </row>
    <row r="5">
      <c r="A5" s="6" t="inlineStr">
        <is>
          <t>Average Order Value</t>
        </is>
      </c>
      <c r="B5" s="7">
        <f>AVERAGE('Clean Data'!$E$2:$E$9)</f>
        <v/>
      </c>
    </row>
    <row r="6">
      <c r="A6" s="6" t="inlineStr">
        <is>
          <t>Largest Order (MAX)</t>
        </is>
      </c>
      <c r="B6" s="7">
        <f>MAX('Clean Data'!$E$2:$E$9)</f>
        <v/>
      </c>
    </row>
    <row r="7">
      <c r="A7" s="6" t="inlineStr">
        <is>
          <t>Number of Orders</t>
        </is>
      </c>
      <c r="B7" s="8">
        <f>COUNTA('Clean Data'!$A$2:$A$9)</f>
        <v/>
      </c>
    </row>
    <row r="9">
      <c r="A9" s="5" t="inlineStr">
        <is>
          <t>Revenue by Region and Product</t>
        </is>
      </c>
    </row>
    <row r="10">
      <c r="A10" s="1" t="inlineStr">
        <is>
          <t>Region</t>
        </is>
      </c>
      <c r="B10" s="1" t="inlineStr">
        <is>
          <t>Laptop</t>
        </is>
      </c>
      <c r="C10" s="1" t="inlineStr">
        <is>
          <t>Phone</t>
        </is>
      </c>
      <c r="D10" s="1" t="inlineStr">
        <is>
          <t>Tablet</t>
        </is>
      </c>
      <c r="E10" s="1" t="inlineStr">
        <is>
          <t>Total</t>
        </is>
      </c>
    </row>
    <row r="11">
      <c r="A11" s="9" t="inlineStr">
        <is>
          <t>North</t>
        </is>
      </c>
      <c r="B11" s="7">
        <f>SUMIFS('Clean Data'!$E$2:$E$9,'Clean Data'!$A$2:$A$9,$A11,'Clean Data'!$B$2:$B$9,B10)</f>
        <v/>
      </c>
      <c r="C11" s="7">
        <f>SUMIFS('Clean Data'!$E$2:$E$9,'Clean Data'!$A$2:$A$9,$A11,'Clean Data'!$B$2:$B$9,C10)</f>
        <v/>
      </c>
      <c r="D11" s="7">
        <f>SUMIFS('Clean Data'!$E$2:$E$9,'Clean Data'!$A$2:$A$9,$A11,'Clean Data'!$B$2:$B$9,D10)</f>
        <v/>
      </c>
      <c r="E11" s="7">
        <f>SUM(B11:D11)</f>
        <v/>
      </c>
    </row>
    <row r="12">
      <c r="A12" s="9" t="inlineStr">
        <is>
          <t>South</t>
        </is>
      </c>
      <c r="B12" s="7">
        <f>SUMIFS('Clean Data'!$E$2:$E$9,'Clean Data'!$A$2:$A$9,$A12,'Clean Data'!$B$2:$B$9,B10)</f>
        <v/>
      </c>
      <c r="C12" s="7">
        <f>SUMIFS('Clean Data'!$E$2:$E$9,'Clean Data'!$A$2:$A$9,$A12,'Clean Data'!$B$2:$B$9,C10)</f>
        <v/>
      </c>
      <c r="D12" s="7">
        <f>SUMIFS('Clean Data'!$E$2:$E$9,'Clean Data'!$A$2:$A$9,$A12,'Clean Data'!$B$2:$B$9,D10)</f>
        <v/>
      </c>
      <c r="E12" s="7">
        <f>SUM(B12:D12)</f>
        <v/>
      </c>
    </row>
    <row r="13">
      <c r="A13" s="9" t="inlineStr">
        <is>
          <t>East</t>
        </is>
      </c>
      <c r="B13" s="7">
        <f>SUMIFS('Clean Data'!$E$2:$E$9,'Clean Data'!$A$2:$A$9,$A13,'Clean Data'!$B$2:$B$9,B10)</f>
        <v/>
      </c>
      <c r="C13" s="7">
        <f>SUMIFS('Clean Data'!$E$2:$E$9,'Clean Data'!$A$2:$A$9,$A13,'Clean Data'!$B$2:$B$9,C10)</f>
        <v/>
      </c>
      <c r="D13" s="7">
        <f>SUMIFS('Clean Data'!$E$2:$E$9,'Clean Data'!$A$2:$A$9,$A13,'Clean Data'!$B$2:$B$9,D10)</f>
        <v/>
      </c>
      <c r="E13" s="7">
        <f>SUM(B13:D13)</f>
        <v/>
      </c>
    </row>
    <row r="14">
      <c r="A14" s="9" t="inlineStr">
        <is>
          <t>West</t>
        </is>
      </c>
      <c r="B14" s="7">
        <f>SUMIFS('Clean Data'!$E$2:$E$9,'Clean Data'!$A$2:$A$9,$A14,'Clean Data'!$B$2:$B$9,B10)</f>
        <v/>
      </c>
      <c r="C14" s="7">
        <f>SUMIFS('Clean Data'!$E$2:$E$9,'Clean Data'!$A$2:$A$9,$A14,'Clean Data'!$B$2:$B$9,C10)</f>
        <v/>
      </c>
      <c r="D14" s="7">
        <f>SUMIFS('Clean Data'!$E$2:$E$9,'Clean Data'!$A$2:$A$9,$A14,'Clean Data'!$B$2:$B$9,D10)</f>
        <v/>
      </c>
      <c r="E14" s="7">
        <f>SUM(B14:D14)</f>
        <v/>
      </c>
    </row>
    <row r="15">
      <c r="A15" s="10" t="inlineStr">
        <is>
          <t>Grand Total</t>
        </is>
      </c>
      <c r="B15" s="11">
        <f>SUM(B11:B14)</f>
        <v/>
      </c>
      <c r="C15" s="11">
        <f>SUM(C11:C14)</f>
        <v/>
      </c>
      <c r="D15" s="11">
        <f>SUM(D11:D14)</f>
        <v/>
      </c>
      <c r="E15" s="11">
        <f>SUM(E11:E14)</f>
        <v/>
      </c>
    </row>
    <row r="18">
      <c r="A18" s="5" t="inlineStr">
        <is>
          <t>Findings &amp; Recommendations</t>
        </is>
      </c>
    </row>
    <row r="19" ht="45" customHeight="1">
      <c r="A19" s="12" t="inlineStr">
        <is>
          <t>Findings: Total revenue is 2,340,000 across 8 orders, with an average order value of 292,500. South is the top-performing region and Laptop is the top-performing product, while West records the lowest revenue.</t>
        </is>
      </c>
    </row>
    <row r="20" ht="45" customHeight="1">
      <c r="A20" s="12" t="inlineStr">
        <is>
          <t>Recommendation: Prioritise Laptop inventory and replicate South's sales practices in other regions; investigate and support the lower-performing West region.</t>
        </is>
      </c>
    </row>
  </sheetData>
  <mergeCells count="3">
    <mergeCell ref="A19:F19"/>
    <mergeCell ref="A20:F20"/>
    <mergeCell ref="A1:F1"/>
  </mergeCells>
  <conditionalFormatting sqref="E11:E14">
    <cfRule type="cellIs" priority="1" operator="equal" dxfId="0">
      <formula>MAX($E$11:$E$14)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2026-06-30T12:20:44Z</dcterms:created>
  <dcterms:modified xsi:type="dcterms:W3CDTF">2026-06-30T12:20:44Z</dcterms:modified>
</cp:coreProperties>
</file>