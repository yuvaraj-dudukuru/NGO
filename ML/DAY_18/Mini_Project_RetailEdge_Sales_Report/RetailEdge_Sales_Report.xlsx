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 Orders" sheetId="1" state="visible" r:id="rId1"/>
    <sheet name="Products" sheetId="2" state="visible" r:id="rId2"/>
    <sheet name="Orders" sheetId="3" state="visible" r:id="rId3"/>
    <sheet name="Report" sheetId="4" state="visible" r:id="rId4"/>
  </sheets>
  <definedNames/>
  <calcPr calcId="124519" fullCalcOnLoad="1"/>
</workbook>
</file>

<file path=xl/styles.xml><?xml version="1.0" encoding="utf-8"?>
<styleSheet xmlns="http://schemas.openxmlformats.org/spreadsheetml/2006/main">
  <numFmts count="1">
    <numFmt numFmtId="164" formatCode="yyyy-mm-dd"/>
  </numFmts>
  <fonts count="5">
    <font>
      <name val="Calibri"/>
      <family val="2"/>
      <color theme="1"/>
      <sz val="11"/>
      <scheme val="minor"/>
    </font>
    <font>
      <b val="1"/>
      <color rgb="00FFFFFF"/>
    </font>
    <font>
      <b val="1"/>
      <color rgb="001F4E78"/>
      <sz val="16"/>
    </font>
    <font>
      <b val="1"/>
      <color rgb="001F4E78"/>
      <sz val="12"/>
    </font>
    <font>
      <b val="1"/>
    </font>
  </fonts>
  <fills count="3">
    <fill>
      <patternFill/>
    </fill>
    <fill>
      <patternFill patternType="gray125"/>
    </fill>
    <fill>
      <patternFill patternType="solid">
        <fgColor rgb="001F4E7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xf>
    <xf numFmtId="164" fontId="0" fillId="0" borderId="0" pivotButton="0" quotePrefix="0" xfId="0"/>
    <xf numFmtId="3" fontId="0" fillId="0" borderId="0" pivotButton="0" quotePrefix="0" xfId="0"/>
    <xf numFmtId="0" fontId="0" fillId="0" borderId="0" applyAlignment="1" pivotButton="0" quotePrefix="0" xfId="0">
      <alignment horizontal="center"/>
    </xf>
    <xf numFmtId="0" fontId="2" fillId="0" borderId="0" pivotButton="0" quotePrefix="0" xfId="0"/>
    <xf numFmtId="0" fontId="3" fillId="0" borderId="0" pivotButton="0" quotePrefix="0" xfId="0"/>
    <xf numFmtId="0" fontId="4" fillId="0" borderId="1" pivotButton="0" quotePrefix="0" xfId="0"/>
    <xf numFmtId="3" fontId="0" fillId="0" borderId="1" pivotButton="0" quotePrefix="0" xfId="0"/>
    <xf numFmtId="1" fontId="0" fillId="0" borderId="1" pivotButton="0" quotePrefix="0" xfId="0"/>
    <xf numFmtId="0" fontId="0" fillId="0" borderId="1" pivotButton="0" quotePrefix="0" xfId="0"/>
    <xf numFmtId="0" fontId="0" fillId="0" borderId="0" applyAlignment="1" pivotButton="0" quotePrefix="0" xfId="0">
      <alignment vertical="top" wrapText="1"/>
    </xf>
  </cellXfs>
  <cellStyles count="1">
    <cellStyle name="Normal" xfId="0" builtinId="0" hidden="0"/>
  </cellStyles>
  <dxfs count="1">
    <dxf>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harts/chart1.xml><?xml version="1.0" encoding="utf-8"?>
<chartSpace xmlns:a="http://schemas.openxmlformats.org/drawingml/2006/main" xmlns="http://schemas.openxmlformats.org/drawingml/2006/chart">
  <chart>
    <title>
      <tx>
        <rich>
          <a:bodyPr/>
          <a:p>
            <a:pPr>
              <a:defRPr/>
            </a:pPr>
            <a:r>
              <a:t>Revenue by Region</a:t>
            </a:r>
          </a:p>
        </rich>
      </tx>
    </title>
    <plotArea>
      <barChart>
        <barDir val="col"/>
        <grouping val="clustered"/>
        <ser>
          <idx val="0"/>
          <order val="0"/>
          <tx>
            <strRef>
              <f>'Report'!B11</f>
            </strRef>
          </tx>
          <spPr>
            <a:ln>
              <a:prstDash val="solid"/>
            </a:ln>
          </spPr>
          <cat>
            <numRef>
              <f>'Report'!$B$12:$B$15</f>
            </numRef>
          </cat>
          <val>
            <numRef>
              <f>'Report'!$B$12:$B$15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Revenue by Month</a:t>
            </a:r>
          </a:p>
        </rich>
      </tx>
    </title>
    <plotArea>
      <barChart>
        <barDir val="col"/>
        <grouping val="clustered"/>
        <ser>
          <idx val="0"/>
          <order val="0"/>
          <tx>
            <strRef>
              <f>'Report'!H11</f>
            </strRef>
          </tx>
          <spPr>
            <a:ln>
              <a:prstDash val="solid"/>
            </a:ln>
          </spPr>
          <cat>
            <numRef>
              <f>'Report'!$H$12:$H$16</f>
            </numRef>
          </cat>
          <val>
            <numRef>
              <f>'Report'!$H$12:$H$16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Revenue by Category</a:t>
            </a:r>
          </a:p>
        </rich>
      </tx>
    </title>
    <plotArea>
      <barChart>
        <barDir val="col"/>
        <grouping val="clustered"/>
        <ser>
          <idx val="0"/>
          <order val="0"/>
          <tx>
            <strRef>
              <f>'Report'!E11</f>
            </strRef>
          </tx>
          <spPr>
            <a:ln>
              <a:prstDash val="solid"/>
            </a:ln>
          </spPr>
          <cat>
            <numRef>
              <f>'Report'!$E$12:$E$14</f>
            </numRef>
          </cat>
          <val>
            <numRef>
              <f>'Report'!$E$12:$E$14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9</col>
      <colOff>0</colOff>
      <row>2</row>
      <rowOff>0</rowOff>
    </from>
    <ext cx="4680000" cy="2700000"/>
    <graphicFrame>
      <nvGraphicFramePr>
        <cNvPr id="1" name="Chart 1"/>
        <cNvGraphicFramePr/>
      </nvGraphicFramePr>
      <xfrm/>
      <a:graphic>
        <a:graphicData uri="http://schemas.openxmlformats.org/drawingml/2006/chart">
          <c:chart r:id="rId1"/>
        </a:graphicData>
      </a:graphic>
    </graphicFrame>
    <clientData/>
  </oneCellAnchor>
  <oneCellAnchor>
    <from>
      <col>9</col>
      <colOff>0</colOff>
      <row>18</row>
      <rowOff>0</rowOff>
    </from>
    <ext cx="4680000" cy="2700000"/>
    <graphicFrame>
      <nvGraphicFramePr>
        <cNvPr id="2" name="Chart 2"/>
        <cNvGraphicFramePr/>
      </nvGraphicFramePr>
      <xfrm/>
      <a:graphic>
        <a:graphicData uri="http://schemas.openxmlformats.org/drawingml/2006/chart">
          <c:chart r:id="rId2"/>
        </a:graphicData>
      </a:graphic>
    </graphicFrame>
    <clientData/>
  </oneCellAnchor>
  <oneCellAnchor>
    <from>
      <col>17</col>
      <colOff>0</colOff>
      <row>2</row>
      <rowOff>0</rowOff>
    </from>
    <ext cx="4680000" cy="2700000"/>
    <graphicFrame>
      <nvGraphicFramePr>
        <cNvPr id="3" name="Chart 3"/>
        <cNvGraphicFramePr/>
      </nvGraphicFramePr>
      <xfrm/>
      <a:graphic>
        <a:graphicData uri="http://schemas.openxmlformats.org/drawingml/2006/chart">
          <c:chart r:id="rId3"/>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cols>
    <col width="11" customWidth="1" min="1" max="1"/>
    <col width="12" customWidth="1" min="2" max="2"/>
    <col width="12" customWidth="1" min="3" max="3"/>
    <col width="12" customWidth="1" min="4" max="4"/>
    <col width="8" customWidth="1" min="5" max="5"/>
    <col width="16" customWidth="1" min="6" max="6"/>
  </cols>
  <sheetData>
    <row r="1">
      <c r="A1" s="1" t="inlineStr">
        <is>
          <t>Order ID</t>
        </is>
      </c>
      <c r="B1" s="1" t="inlineStr">
        <is>
          <t>Date</t>
        </is>
      </c>
      <c r="C1" s="1" t="inlineStr">
        <is>
          <t>Region</t>
        </is>
      </c>
      <c r="D1" s="1" t="inlineStr">
        <is>
          <t>Product</t>
        </is>
      </c>
      <c r="E1" s="1" t="inlineStr">
        <is>
          <t>Units</t>
        </is>
      </c>
      <c r="F1" s="1" t="inlineStr">
        <is>
          <t>Customer Segment</t>
        </is>
      </c>
    </row>
    <row r="2">
      <c r="A2" t="inlineStr">
        <is>
          <t>ORD-1001</t>
        </is>
      </c>
      <c r="B2" s="2" t="n">
        <v>45662</v>
      </c>
      <c r="C2" t="inlineStr">
        <is>
          <t>North</t>
        </is>
      </c>
      <c r="D2" t="inlineStr">
        <is>
          <t>Laptop</t>
        </is>
      </c>
      <c r="E2" t="n">
        <v>2</v>
      </c>
      <c r="F2" t="inlineStr">
        <is>
          <t>Premium</t>
        </is>
      </c>
    </row>
    <row r="3">
      <c r="A3" t="inlineStr">
        <is>
          <t>ORD-1002</t>
        </is>
      </c>
      <c r="B3" s="2" t="n">
        <v>45669</v>
      </c>
      <c r="C3" t="inlineStr">
        <is>
          <t>south</t>
        </is>
      </c>
      <c r="D3" t="inlineStr">
        <is>
          <t>Phone</t>
        </is>
      </c>
      <c r="E3" t="n">
        <v>4</v>
      </c>
      <c r="F3" t="inlineStr">
        <is>
          <t>Regular</t>
        </is>
      </c>
    </row>
    <row r="4">
      <c r="A4" t="inlineStr">
        <is>
          <t>ORD-1003</t>
        </is>
      </c>
      <c r="B4" s="2" t="n">
        <v>45675</v>
      </c>
      <c r="C4" t="inlineStr">
        <is>
          <t>East</t>
        </is>
      </c>
      <c r="D4" t="inlineStr">
        <is>
          <t>Tablet</t>
        </is>
      </c>
      <c r="E4" t="n">
        <v>3</v>
      </c>
      <c r="F4" t="inlineStr">
        <is>
          <t>Corporate</t>
        </is>
      </c>
    </row>
    <row r="5">
      <c r="A5" t="inlineStr">
        <is>
          <t>ORD-1004</t>
        </is>
      </c>
      <c r="B5" s="2" t="n">
        <v>45682</v>
      </c>
      <c r="C5" t="inlineStr">
        <is>
          <t>West</t>
        </is>
      </c>
      <c r="D5" t="inlineStr">
        <is>
          <t>Monitor</t>
        </is>
      </c>
      <c r="E5" t="n">
        <v>5</v>
      </c>
      <c r="F5" t="inlineStr">
        <is>
          <t xml:space="preserve"> regular</t>
        </is>
      </c>
    </row>
    <row r="6">
      <c r="A6" t="inlineStr">
        <is>
          <t>ORD-1005</t>
        </is>
      </c>
      <c r="B6" s="2" t="n">
        <v>45685</v>
      </c>
      <c r="C6" t="inlineStr">
        <is>
          <t xml:space="preserve"> north</t>
        </is>
      </c>
      <c r="D6" t="inlineStr">
        <is>
          <t>Headphones</t>
        </is>
      </c>
      <c r="E6" t="n">
        <v>10</v>
      </c>
      <c r="F6" t="inlineStr">
        <is>
          <t>Premium</t>
        </is>
      </c>
    </row>
    <row r="7">
      <c r="A7" t="inlineStr">
        <is>
          <t>ORD-1006</t>
        </is>
      </c>
      <c r="B7" s="2" t="n">
        <v>45691</v>
      </c>
      <c r="C7" t="inlineStr">
        <is>
          <t>South</t>
        </is>
      </c>
      <c r="D7" t="inlineStr">
        <is>
          <t>Laptop</t>
        </is>
      </c>
      <c r="E7" t="n">
        <v>1</v>
      </c>
      <c r="F7" t="inlineStr">
        <is>
          <t>Corporate</t>
        </is>
      </c>
    </row>
    <row r="8">
      <c r="A8" t="inlineStr">
        <is>
          <t>ORD-1007</t>
        </is>
      </c>
      <c r="B8" s="2" t="n">
        <v>45697</v>
      </c>
      <c r="C8" t="inlineStr">
        <is>
          <t>east</t>
        </is>
      </c>
      <c r="D8" t="inlineStr">
        <is>
          <t>Keyboard</t>
        </is>
      </c>
      <c r="E8" t="n">
        <v>8</v>
      </c>
      <c r="F8" t="inlineStr">
        <is>
          <t>Regular</t>
        </is>
      </c>
    </row>
    <row r="9">
      <c r="A9" t="inlineStr">
        <is>
          <t>ORD-1008</t>
        </is>
      </c>
      <c r="B9" s="2" t="n">
        <v>45702</v>
      </c>
      <c r="C9" t="inlineStr">
        <is>
          <t xml:space="preserve">West </t>
        </is>
      </c>
      <c r="D9" t="inlineStr">
        <is>
          <t>Phone</t>
        </is>
      </c>
      <c r="E9" t="n">
        <v>3</v>
      </c>
      <c r="F9" t="inlineStr">
        <is>
          <t xml:space="preserve">premium </t>
        </is>
      </c>
    </row>
    <row r="10">
      <c r="A10" t="inlineStr">
        <is>
          <t>ORD-1009</t>
        </is>
      </c>
      <c r="B10" s="2" t="n">
        <v>45708</v>
      </c>
      <c r="C10" t="inlineStr">
        <is>
          <t>North</t>
        </is>
      </c>
      <c r="D10" t="inlineStr">
        <is>
          <t>Tablet</t>
        </is>
      </c>
      <c r="E10" t="n">
        <v>6</v>
      </c>
      <c r="F10" t="inlineStr">
        <is>
          <t>Regular</t>
        </is>
      </c>
    </row>
    <row r="11">
      <c r="A11" t="inlineStr">
        <is>
          <t>ORD-1010</t>
        </is>
      </c>
      <c r="B11" s="2" t="n">
        <v>45713</v>
      </c>
      <c r="C11" t="inlineStr">
        <is>
          <t>South</t>
        </is>
      </c>
      <c r="D11" t="inlineStr">
        <is>
          <t>Monitor</t>
        </is>
      </c>
      <c r="E11" t="n">
        <v>4</v>
      </c>
      <c r="F11" t="inlineStr">
        <is>
          <t>corporate</t>
        </is>
      </c>
    </row>
    <row r="12">
      <c r="A12" t="inlineStr">
        <is>
          <t>ORD-1011</t>
        </is>
      </c>
      <c r="B12" s="2" t="n">
        <v>45718</v>
      </c>
      <c r="C12" t="inlineStr">
        <is>
          <t>East</t>
        </is>
      </c>
      <c r="D12" t="inlineStr">
        <is>
          <t>Laptop</t>
        </is>
      </c>
      <c r="E12" t="n">
        <v>3</v>
      </c>
      <c r="F12" t="inlineStr">
        <is>
          <t>Premium</t>
        </is>
      </c>
    </row>
    <row r="13">
      <c r="A13" t="inlineStr">
        <is>
          <t>ORD-1012</t>
        </is>
      </c>
      <c r="B13" s="2" t="n">
        <v>45724</v>
      </c>
      <c r="C13" t="inlineStr">
        <is>
          <t>west</t>
        </is>
      </c>
      <c r="D13" t="inlineStr">
        <is>
          <t>Headphones</t>
        </is>
      </c>
      <c r="E13" t="n">
        <v>12</v>
      </c>
      <c r="F13" t="inlineStr">
        <is>
          <t>Regular</t>
        </is>
      </c>
    </row>
    <row r="14">
      <c r="A14" t="inlineStr">
        <is>
          <t>ORD-1013</t>
        </is>
      </c>
      <c r="B14" s="2" t="n">
        <v>45729</v>
      </c>
      <c r="C14" t="inlineStr">
        <is>
          <t>North</t>
        </is>
      </c>
      <c r="D14" t="inlineStr">
        <is>
          <t>Phone</t>
        </is>
      </c>
      <c r="E14" t="n">
        <v>5</v>
      </c>
      <c r="F14" t="inlineStr">
        <is>
          <t>Corporate</t>
        </is>
      </c>
    </row>
    <row r="15">
      <c r="A15" t="inlineStr">
        <is>
          <t>ORD-1014</t>
        </is>
      </c>
      <c r="B15" s="2" t="n">
        <v>45735</v>
      </c>
      <c r="C15" t="inlineStr">
        <is>
          <t>South</t>
        </is>
      </c>
      <c r="D15" t="inlineStr">
        <is>
          <t>Tablet</t>
        </is>
      </c>
      <c r="E15" t="n">
        <v>2</v>
      </c>
      <c r="F15" t="inlineStr">
        <is>
          <t>Premium</t>
        </is>
      </c>
    </row>
    <row r="16">
      <c r="A16" t="inlineStr">
        <is>
          <t>ORD-1015</t>
        </is>
      </c>
      <c r="B16" s="2" t="n">
        <v>45742</v>
      </c>
      <c r="C16" t="inlineStr">
        <is>
          <t>East</t>
        </is>
      </c>
      <c r="D16" t="inlineStr">
        <is>
          <t>Monitor</t>
        </is>
      </c>
      <c r="E16" t="n">
        <v>7</v>
      </c>
      <c r="F16" t="inlineStr">
        <is>
          <t>Regular</t>
        </is>
      </c>
    </row>
    <row r="17">
      <c r="A17" t="inlineStr">
        <is>
          <t>ORD-1016</t>
        </is>
      </c>
      <c r="B17" s="2" t="n">
        <v>45746</v>
      </c>
      <c r="C17" t="inlineStr">
        <is>
          <t xml:space="preserve">west </t>
        </is>
      </c>
      <c r="D17" t="inlineStr">
        <is>
          <t>Keyboard</t>
        </is>
      </c>
      <c r="E17" t="n">
        <v>15</v>
      </c>
      <c r="F17" t="inlineStr">
        <is>
          <t>Corporate</t>
        </is>
      </c>
    </row>
    <row r="18">
      <c r="A18" t="inlineStr">
        <is>
          <t>ORD-1017</t>
        </is>
      </c>
      <c r="B18" s="2" t="n">
        <v>45751</v>
      </c>
      <c r="C18" t="inlineStr">
        <is>
          <t>North</t>
        </is>
      </c>
      <c r="D18" t="inlineStr">
        <is>
          <t>Laptop</t>
        </is>
      </c>
      <c r="E18" t="n">
        <v>4</v>
      </c>
      <c r="F18" t="inlineStr">
        <is>
          <t>Premium</t>
        </is>
      </c>
    </row>
    <row r="19">
      <c r="A19" t="inlineStr">
        <is>
          <t>ORD-1018</t>
        </is>
      </c>
      <c r="B19" s="2" t="n">
        <v>45757</v>
      </c>
      <c r="C19" t="inlineStr">
        <is>
          <t>South</t>
        </is>
      </c>
      <c r="D19" t="inlineStr">
        <is>
          <t>Phone</t>
        </is>
      </c>
      <c r="E19" t="n">
        <v>6</v>
      </c>
      <c r="F19" t="inlineStr">
        <is>
          <t>Regular</t>
        </is>
      </c>
    </row>
    <row r="20">
      <c r="A20" t="inlineStr">
        <is>
          <t>ORD-1019</t>
        </is>
      </c>
      <c r="B20" s="2" t="n">
        <v>45762</v>
      </c>
      <c r="C20" t="inlineStr">
        <is>
          <t>East</t>
        </is>
      </c>
      <c r="D20" t="inlineStr">
        <is>
          <t>Headphones</t>
        </is>
      </c>
      <c r="E20" t="n">
        <v>9</v>
      </c>
      <c r="F20" t="inlineStr">
        <is>
          <t>Corporate</t>
        </is>
      </c>
    </row>
    <row r="21">
      <c r="A21" t="inlineStr">
        <is>
          <t>ORD-1020</t>
        </is>
      </c>
      <c r="B21" s="2" t="n">
        <v>45768</v>
      </c>
      <c r="C21" t="inlineStr">
        <is>
          <t>West</t>
        </is>
      </c>
      <c r="D21" t="inlineStr">
        <is>
          <t>Tablet</t>
        </is>
      </c>
      <c r="E21" t="n">
        <v>5</v>
      </c>
      <c r="F21" t="inlineStr">
        <is>
          <t>Premium</t>
        </is>
      </c>
    </row>
    <row r="22">
      <c r="A22" t="inlineStr">
        <is>
          <t>ORD-1021</t>
        </is>
      </c>
      <c r="B22" s="2" t="n">
        <v>45774</v>
      </c>
      <c r="C22" t="inlineStr">
        <is>
          <t>north</t>
        </is>
      </c>
      <c r="D22" t="inlineStr">
        <is>
          <t>Monitor</t>
        </is>
      </c>
      <c r="E22" t="n">
        <v>3</v>
      </c>
      <c r="F22" t="inlineStr">
        <is>
          <t>Regular</t>
        </is>
      </c>
    </row>
    <row r="23">
      <c r="A23" t="inlineStr">
        <is>
          <t>ORD-1022</t>
        </is>
      </c>
      <c r="B23" s="2" t="n">
        <v>45779</v>
      </c>
      <c r="C23" t="inlineStr">
        <is>
          <t>South</t>
        </is>
      </c>
      <c r="D23" t="inlineStr">
        <is>
          <t>Laptop</t>
        </is>
      </c>
      <c r="E23" t="n">
        <v>2</v>
      </c>
      <c r="F23" t="inlineStr">
        <is>
          <t>Corporate</t>
        </is>
      </c>
    </row>
    <row r="24">
      <c r="A24" t="inlineStr">
        <is>
          <t>ORD-1023</t>
        </is>
      </c>
      <c r="B24" s="2" t="n">
        <v>45784</v>
      </c>
      <c r="C24" t="inlineStr">
        <is>
          <t>East</t>
        </is>
      </c>
      <c r="D24" t="inlineStr">
        <is>
          <t>Phone</t>
        </is>
      </c>
      <c r="E24" t="n">
        <v>7</v>
      </c>
      <c r="F24" t="inlineStr">
        <is>
          <t>Premium</t>
        </is>
      </c>
    </row>
    <row r="25">
      <c r="A25" t="inlineStr">
        <is>
          <t>ORD-1024</t>
        </is>
      </c>
      <c r="B25" s="2" t="n">
        <v>45789</v>
      </c>
      <c r="C25" t="inlineStr">
        <is>
          <t>West</t>
        </is>
      </c>
      <c r="D25" t="inlineStr">
        <is>
          <t>Keyboard</t>
        </is>
      </c>
      <c r="E25" t="n">
        <v>10</v>
      </c>
      <c r="F25" t="inlineStr">
        <is>
          <t>Regular</t>
        </is>
      </c>
    </row>
    <row r="26">
      <c r="A26" t="inlineStr">
        <is>
          <t>ORD-1025</t>
        </is>
      </c>
      <c r="B26" s="2" t="n">
        <v>45793</v>
      </c>
      <c r="C26" t="inlineStr">
        <is>
          <t>North</t>
        </is>
      </c>
      <c r="D26" t="inlineStr">
        <is>
          <t>Tablet</t>
        </is>
      </c>
      <c r="E26" t="n">
        <v>4</v>
      </c>
      <c r="F26" t="inlineStr">
        <is>
          <t>Corporate</t>
        </is>
      </c>
    </row>
    <row r="27">
      <c r="A27" t="inlineStr">
        <is>
          <t>ORD-1026</t>
        </is>
      </c>
      <c r="B27" s="2" t="n">
        <v>45796</v>
      </c>
      <c r="C27" t="inlineStr">
        <is>
          <t>south</t>
        </is>
      </c>
      <c r="D27" t="inlineStr">
        <is>
          <t>Headphones</t>
        </is>
      </c>
      <c r="E27" t="n">
        <v>20</v>
      </c>
      <c r="F27" t="inlineStr">
        <is>
          <t>Premium</t>
        </is>
      </c>
    </row>
    <row r="28">
      <c r="A28" t="inlineStr">
        <is>
          <t>ORD-1027</t>
        </is>
      </c>
      <c r="B28" s="2" t="n">
        <v>45800</v>
      </c>
      <c r="C28" t="inlineStr">
        <is>
          <t>East</t>
        </is>
      </c>
      <c r="D28" t="inlineStr">
        <is>
          <t>Laptop</t>
        </is>
      </c>
      <c r="E28" t="n">
        <v>5</v>
      </c>
      <c r="F28" t="inlineStr">
        <is>
          <t>Regular</t>
        </is>
      </c>
    </row>
    <row r="29">
      <c r="A29" t="inlineStr">
        <is>
          <t>ORD-1028</t>
        </is>
      </c>
      <c r="B29" s="2" t="n">
        <v>45804</v>
      </c>
      <c r="C29" t="inlineStr">
        <is>
          <t>West</t>
        </is>
      </c>
      <c r="D29" t="inlineStr">
        <is>
          <t>Monitor</t>
        </is>
      </c>
      <c r="E29" t="n">
        <v>6</v>
      </c>
      <c r="F29" t="inlineStr">
        <is>
          <t>Corporate</t>
        </is>
      </c>
    </row>
    <row r="30">
      <c r="A30" t="inlineStr">
        <is>
          <t>ORD-1029</t>
        </is>
      </c>
      <c r="B30" s="2" t="n">
        <v>45806</v>
      </c>
      <c r="C30" t="inlineStr">
        <is>
          <t>North</t>
        </is>
      </c>
      <c r="D30" t="inlineStr">
        <is>
          <t>Phone</t>
        </is>
      </c>
      <c r="E30" t="n">
        <v>8</v>
      </c>
      <c r="F30" t="inlineStr">
        <is>
          <t>Premium</t>
        </is>
      </c>
    </row>
    <row r="31">
      <c r="A31" t="inlineStr">
        <is>
          <t>ORD-1030</t>
        </is>
      </c>
      <c r="B31" s="2" t="n">
        <v>45807</v>
      </c>
      <c r="C31" t="inlineStr">
        <is>
          <t>South</t>
        </is>
      </c>
      <c r="D31" t="inlineStr">
        <is>
          <t>Tablet</t>
        </is>
      </c>
      <c r="E31" t="n">
        <v>3</v>
      </c>
      <c r="F31" t="inlineStr">
        <is>
          <t>Regular</t>
        </is>
      </c>
    </row>
    <row r="32">
      <c r="A32" t="inlineStr">
        <is>
          <t>ORD-1031</t>
        </is>
      </c>
      <c r="B32" s="2" t="n">
        <v>45777</v>
      </c>
      <c r="C32" t="inlineStr">
        <is>
          <t>East</t>
        </is>
      </c>
      <c r="D32" t="inlineStr">
        <is>
          <t>Laptop</t>
        </is>
      </c>
      <c r="E32" t="n">
        <v>1</v>
      </c>
      <c r="F32" t="inlineStr">
        <is>
          <t>Corporate</t>
        </is>
      </c>
    </row>
    <row r="33">
      <c r="A33" t="inlineStr">
        <is>
          <t>ORD-1032</t>
        </is>
      </c>
      <c r="B33" s="2" t="n">
        <v>45747</v>
      </c>
      <c r="C33" t="inlineStr">
        <is>
          <t>West</t>
        </is>
      </c>
      <c r="D33" t="inlineStr">
        <is>
          <t>Phone</t>
        </is>
      </c>
      <c r="E33" t="n">
        <v>2</v>
      </c>
      <c r="F33" t="inlineStr">
        <is>
          <t>Premium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4" customWidth="1" min="1" max="1"/>
    <col width="14" customWidth="1" min="2" max="2"/>
    <col width="12" customWidth="1" min="3" max="3"/>
  </cols>
  <sheetData>
    <row r="1">
      <c r="A1" s="1" t="inlineStr">
        <is>
          <t>Product</t>
        </is>
      </c>
      <c r="B1" s="1" t="inlineStr">
        <is>
          <t>Category</t>
        </is>
      </c>
      <c r="C1" s="1" t="inlineStr">
        <is>
          <t>Unit Price</t>
        </is>
      </c>
    </row>
    <row r="2">
      <c r="A2" t="inlineStr">
        <is>
          <t>Laptop</t>
        </is>
      </c>
      <c r="B2" t="inlineStr">
        <is>
          <t>Computers</t>
        </is>
      </c>
      <c r="C2" s="3" t="n">
        <v>60000</v>
      </c>
    </row>
    <row r="3">
      <c r="A3" t="inlineStr">
        <is>
          <t>Phone</t>
        </is>
      </c>
      <c r="B3" t="inlineStr">
        <is>
          <t>Mobile</t>
        </is>
      </c>
      <c r="C3" s="3" t="n">
        <v>30000</v>
      </c>
    </row>
    <row r="4">
      <c r="A4" t="inlineStr">
        <is>
          <t>Tablet</t>
        </is>
      </c>
      <c r="B4" t="inlineStr">
        <is>
          <t>Mobile</t>
        </is>
      </c>
      <c r="C4" s="3" t="n">
        <v>20000</v>
      </c>
    </row>
    <row r="5">
      <c r="A5" t="inlineStr">
        <is>
          <t>Monitor</t>
        </is>
      </c>
      <c r="B5" t="inlineStr">
        <is>
          <t>Computers</t>
        </is>
      </c>
      <c r="C5" s="3" t="n">
        <v>12000</v>
      </c>
    </row>
    <row r="6">
      <c r="A6" t="inlineStr">
        <is>
          <t>Headphones</t>
        </is>
      </c>
      <c r="B6" t="inlineStr">
        <is>
          <t>Accessories</t>
        </is>
      </c>
      <c r="C6" s="3" t="n">
        <v>3000</v>
      </c>
    </row>
    <row r="7">
      <c r="A7" t="inlineStr">
        <is>
          <t>Keyboard</t>
        </is>
      </c>
      <c r="B7" t="inlineStr">
        <is>
          <t>Accessories</t>
        </is>
      </c>
      <c r="C7" s="3" t="n">
        <v>1500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3"/>
  <sheetViews>
    <sheetView workbookViewId="0">
      <selection activeCell="A1" sqref="A1"/>
    </sheetView>
  </sheetViews>
  <sheetFormatPr baseColWidth="8" defaultRowHeight="15"/>
  <cols>
    <col width="11" customWidth="1" min="1" max="1"/>
    <col width="12" customWidth="1" min="2" max="2"/>
    <col width="10" customWidth="1" min="3" max="3"/>
    <col width="12" customWidth="1" min="4" max="4"/>
    <col width="13" customWidth="1" min="5" max="5"/>
    <col width="8" customWidth="1" min="6" max="6"/>
    <col width="11" customWidth="1" min="7" max="7"/>
    <col width="16" customWidth="1" min="8" max="8"/>
    <col width="8" customWidth="1" min="9" max="9"/>
    <col width="13" customWidth="1" min="10" max="10"/>
    <col width="14" customWidth="1" min="11" max="11"/>
  </cols>
  <sheetData>
    <row r="1">
      <c r="A1" s="1" t="inlineStr">
        <is>
          <t>Order ID</t>
        </is>
      </c>
      <c r="B1" s="1" t="inlineStr">
        <is>
          <t>Date</t>
        </is>
      </c>
      <c r="C1" s="1" t="inlineStr">
        <is>
          <t>Region</t>
        </is>
      </c>
      <c r="D1" s="1" t="inlineStr">
        <is>
          <t>Product</t>
        </is>
      </c>
      <c r="E1" s="1" t="inlineStr">
        <is>
          <t>Category</t>
        </is>
      </c>
      <c r="F1" s="1" t="inlineStr">
        <is>
          <t>Units</t>
        </is>
      </c>
      <c r="G1" s="1" t="inlineStr">
        <is>
          <t>Unit Price</t>
        </is>
      </c>
      <c r="H1" s="1" t="inlineStr">
        <is>
          <t>Customer Segment</t>
        </is>
      </c>
      <c r="I1" s="1" t="inlineStr">
        <is>
          <t>Month</t>
        </is>
      </c>
      <c r="J1" s="1" t="inlineStr">
        <is>
          <t>Revenue</t>
        </is>
      </c>
      <c r="K1" s="1" t="inlineStr">
        <is>
          <t>Classification</t>
        </is>
      </c>
    </row>
    <row r="2">
      <c r="A2">
        <f>'Raw Orders'!A2</f>
        <v/>
      </c>
      <c r="B2" s="2">
        <f>'Raw Orders'!B2</f>
        <v/>
      </c>
      <c r="C2">
        <f>PROPER(TRIM('Raw Orders'!C2))</f>
        <v/>
      </c>
      <c r="D2">
        <f>PROPER(TRIM('Raw Orders'!D2))</f>
        <v/>
      </c>
      <c r="E2">
        <f>VLOOKUP(D2,Products!$A$2:$C$7,2,FALSE)</f>
        <v/>
      </c>
      <c r="F2" s="4">
        <f>'Raw Orders'!E2</f>
        <v/>
      </c>
      <c r="G2" s="3">
        <f>VLOOKUP(D2,Products!$A$2:$C$7,3,FALSE)</f>
        <v/>
      </c>
      <c r="H2">
        <f>PROPER(TRIM('Raw Orders'!F2))</f>
        <v/>
      </c>
      <c r="I2" s="4">
        <f>TEXT(B2,"mmm")</f>
        <v/>
      </c>
      <c r="J2" s="3">
        <f>F2*G2</f>
        <v/>
      </c>
      <c r="K2" s="4">
        <f>IF(J2&gt;=100000,"High-Value","Standard")</f>
        <v/>
      </c>
    </row>
    <row r="3">
      <c r="A3">
        <f>'Raw Orders'!A3</f>
        <v/>
      </c>
      <c r="B3" s="2">
        <f>'Raw Orders'!B3</f>
        <v/>
      </c>
      <c r="C3">
        <f>PROPER(TRIM('Raw Orders'!C3))</f>
        <v/>
      </c>
      <c r="D3">
        <f>PROPER(TRIM('Raw Orders'!D3))</f>
        <v/>
      </c>
      <c r="E3">
        <f>VLOOKUP(D3,Products!$A$2:$C$7,2,FALSE)</f>
        <v/>
      </c>
      <c r="F3" s="4">
        <f>'Raw Orders'!E3</f>
        <v/>
      </c>
      <c r="G3" s="3">
        <f>VLOOKUP(D3,Products!$A$2:$C$7,3,FALSE)</f>
        <v/>
      </c>
      <c r="H3">
        <f>PROPER(TRIM('Raw Orders'!F3))</f>
        <v/>
      </c>
      <c r="I3" s="4">
        <f>TEXT(B3,"mmm")</f>
        <v/>
      </c>
      <c r="J3" s="3">
        <f>F3*G3</f>
        <v/>
      </c>
      <c r="K3" s="4">
        <f>IF(J3&gt;=100000,"High-Value","Standard")</f>
        <v/>
      </c>
    </row>
    <row r="4">
      <c r="A4">
        <f>'Raw Orders'!A4</f>
        <v/>
      </c>
      <c r="B4" s="2">
        <f>'Raw Orders'!B4</f>
        <v/>
      </c>
      <c r="C4">
        <f>PROPER(TRIM('Raw Orders'!C4))</f>
        <v/>
      </c>
      <c r="D4">
        <f>PROPER(TRIM('Raw Orders'!D4))</f>
        <v/>
      </c>
      <c r="E4">
        <f>VLOOKUP(D4,Products!$A$2:$C$7,2,FALSE)</f>
        <v/>
      </c>
      <c r="F4" s="4">
        <f>'Raw Orders'!E4</f>
        <v/>
      </c>
      <c r="G4" s="3">
        <f>VLOOKUP(D4,Products!$A$2:$C$7,3,FALSE)</f>
        <v/>
      </c>
      <c r="H4">
        <f>PROPER(TRIM('Raw Orders'!F4))</f>
        <v/>
      </c>
      <c r="I4" s="4">
        <f>TEXT(B4,"mmm")</f>
        <v/>
      </c>
      <c r="J4" s="3">
        <f>F4*G4</f>
        <v/>
      </c>
      <c r="K4" s="4">
        <f>IF(J4&gt;=100000,"High-Value","Standard")</f>
        <v/>
      </c>
    </row>
    <row r="5">
      <c r="A5">
        <f>'Raw Orders'!A5</f>
        <v/>
      </c>
      <c r="B5" s="2">
        <f>'Raw Orders'!B5</f>
        <v/>
      </c>
      <c r="C5">
        <f>PROPER(TRIM('Raw Orders'!C5))</f>
        <v/>
      </c>
      <c r="D5">
        <f>PROPER(TRIM('Raw Orders'!D5))</f>
        <v/>
      </c>
      <c r="E5">
        <f>VLOOKUP(D5,Products!$A$2:$C$7,2,FALSE)</f>
        <v/>
      </c>
      <c r="F5" s="4">
        <f>'Raw Orders'!E5</f>
        <v/>
      </c>
      <c r="G5" s="3">
        <f>VLOOKUP(D5,Products!$A$2:$C$7,3,FALSE)</f>
        <v/>
      </c>
      <c r="H5">
        <f>PROPER(TRIM('Raw Orders'!F5))</f>
        <v/>
      </c>
      <c r="I5" s="4">
        <f>TEXT(B5,"mmm")</f>
        <v/>
      </c>
      <c r="J5" s="3">
        <f>F5*G5</f>
        <v/>
      </c>
      <c r="K5" s="4">
        <f>IF(J5&gt;=100000,"High-Value","Standard")</f>
        <v/>
      </c>
    </row>
    <row r="6">
      <c r="A6">
        <f>'Raw Orders'!A6</f>
        <v/>
      </c>
      <c r="B6" s="2">
        <f>'Raw Orders'!B6</f>
        <v/>
      </c>
      <c r="C6">
        <f>PROPER(TRIM('Raw Orders'!C6))</f>
        <v/>
      </c>
      <c r="D6">
        <f>PROPER(TRIM('Raw Orders'!D6))</f>
        <v/>
      </c>
      <c r="E6">
        <f>VLOOKUP(D6,Products!$A$2:$C$7,2,FALSE)</f>
        <v/>
      </c>
      <c r="F6" s="4">
        <f>'Raw Orders'!E6</f>
        <v/>
      </c>
      <c r="G6" s="3">
        <f>VLOOKUP(D6,Products!$A$2:$C$7,3,FALSE)</f>
        <v/>
      </c>
      <c r="H6">
        <f>PROPER(TRIM('Raw Orders'!F6))</f>
        <v/>
      </c>
      <c r="I6" s="4">
        <f>TEXT(B6,"mmm")</f>
        <v/>
      </c>
      <c r="J6" s="3">
        <f>F6*G6</f>
        <v/>
      </c>
      <c r="K6" s="4">
        <f>IF(J6&gt;=100000,"High-Value","Standard")</f>
        <v/>
      </c>
    </row>
    <row r="7">
      <c r="A7">
        <f>'Raw Orders'!A7</f>
        <v/>
      </c>
      <c r="B7" s="2">
        <f>'Raw Orders'!B7</f>
        <v/>
      </c>
      <c r="C7">
        <f>PROPER(TRIM('Raw Orders'!C7))</f>
        <v/>
      </c>
      <c r="D7">
        <f>PROPER(TRIM('Raw Orders'!D7))</f>
        <v/>
      </c>
      <c r="E7">
        <f>VLOOKUP(D7,Products!$A$2:$C$7,2,FALSE)</f>
        <v/>
      </c>
      <c r="F7" s="4">
        <f>'Raw Orders'!E7</f>
        <v/>
      </c>
      <c r="G7" s="3">
        <f>VLOOKUP(D7,Products!$A$2:$C$7,3,FALSE)</f>
        <v/>
      </c>
      <c r="H7">
        <f>PROPER(TRIM('Raw Orders'!F7))</f>
        <v/>
      </c>
      <c r="I7" s="4">
        <f>TEXT(B7,"mmm")</f>
        <v/>
      </c>
      <c r="J7" s="3">
        <f>F7*G7</f>
        <v/>
      </c>
      <c r="K7" s="4">
        <f>IF(J7&gt;=100000,"High-Value","Standard")</f>
        <v/>
      </c>
    </row>
    <row r="8">
      <c r="A8">
        <f>'Raw Orders'!A8</f>
        <v/>
      </c>
      <c r="B8" s="2">
        <f>'Raw Orders'!B8</f>
        <v/>
      </c>
      <c r="C8">
        <f>PROPER(TRIM('Raw Orders'!C8))</f>
        <v/>
      </c>
      <c r="D8">
        <f>PROPER(TRIM('Raw Orders'!D8))</f>
        <v/>
      </c>
      <c r="E8">
        <f>VLOOKUP(D8,Products!$A$2:$C$7,2,FALSE)</f>
        <v/>
      </c>
      <c r="F8" s="4">
        <f>'Raw Orders'!E8</f>
        <v/>
      </c>
      <c r="G8" s="3">
        <f>VLOOKUP(D8,Products!$A$2:$C$7,3,FALSE)</f>
        <v/>
      </c>
      <c r="H8">
        <f>PROPER(TRIM('Raw Orders'!F8))</f>
        <v/>
      </c>
      <c r="I8" s="4">
        <f>TEXT(B8,"mmm")</f>
        <v/>
      </c>
      <c r="J8" s="3">
        <f>F8*G8</f>
        <v/>
      </c>
      <c r="K8" s="4">
        <f>IF(J8&gt;=100000,"High-Value","Standard")</f>
        <v/>
      </c>
    </row>
    <row r="9">
      <c r="A9">
        <f>'Raw Orders'!A9</f>
        <v/>
      </c>
      <c r="B9" s="2">
        <f>'Raw Orders'!B9</f>
        <v/>
      </c>
      <c r="C9">
        <f>PROPER(TRIM('Raw Orders'!C9))</f>
        <v/>
      </c>
      <c r="D9">
        <f>PROPER(TRIM('Raw Orders'!D9))</f>
        <v/>
      </c>
      <c r="E9">
        <f>VLOOKUP(D9,Products!$A$2:$C$7,2,FALSE)</f>
        <v/>
      </c>
      <c r="F9" s="4">
        <f>'Raw Orders'!E9</f>
        <v/>
      </c>
      <c r="G9" s="3">
        <f>VLOOKUP(D9,Products!$A$2:$C$7,3,FALSE)</f>
        <v/>
      </c>
      <c r="H9">
        <f>PROPER(TRIM('Raw Orders'!F9))</f>
        <v/>
      </c>
      <c r="I9" s="4">
        <f>TEXT(B9,"mmm")</f>
        <v/>
      </c>
      <c r="J9" s="3">
        <f>F9*G9</f>
        <v/>
      </c>
      <c r="K9" s="4">
        <f>IF(J9&gt;=100000,"High-Value","Standard")</f>
        <v/>
      </c>
    </row>
    <row r="10">
      <c r="A10">
        <f>'Raw Orders'!A10</f>
        <v/>
      </c>
      <c r="B10" s="2">
        <f>'Raw Orders'!B10</f>
        <v/>
      </c>
      <c r="C10">
        <f>PROPER(TRIM('Raw Orders'!C10))</f>
        <v/>
      </c>
      <c r="D10">
        <f>PROPER(TRIM('Raw Orders'!D10))</f>
        <v/>
      </c>
      <c r="E10">
        <f>VLOOKUP(D10,Products!$A$2:$C$7,2,FALSE)</f>
        <v/>
      </c>
      <c r="F10" s="4">
        <f>'Raw Orders'!E10</f>
        <v/>
      </c>
      <c r="G10" s="3">
        <f>VLOOKUP(D10,Products!$A$2:$C$7,3,FALSE)</f>
        <v/>
      </c>
      <c r="H10">
        <f>PROPER(TRIM('Raw Orders'!F10))</f>
        <v/>
      </c>
      <c r="I10" s="4">
        <f>TEXT(B10,"mmm")</f>
        <v/>
      </c>
      <c r="J10" s="3">
        <f>F10*G10</f>
        <v/>
      </c>
      <c r="K10" s="4">
        <f>IF(J10&gt;=100000,"High-Value","Standard")</f>
        <v/>
      </c>
    </row>
    <row r="11">
      <c r="A11">
        <f>'Raw Orders'!A11</f>
        <v/>
      </c>
      <c r="B11" s="2">
        <f>'Raw Orders'!B11</f>
        <v/>
      </c>
      <c r="C11">
        <f>PROPER(TRIM('Raw Orders'!C11))</f>
        <v/>
      </c>
      <c r="D11">
        <f>PROPER(TRIM('Raw Orders'!D11))</f>
        <v/>
      </c>
      <c r="E11">
        <f>VLOOKUP(D11,Products!$A$2:$C$7,2,FALSE)</f>
        <v/>
      </c>
      <c r="F11" s="4">
        <f>'Raw Orders'!E11</f>
        <v/>
      </c>
      <c r="G11" s="3">
        <f>VLOOKUP(D11,Products!$A$2:$C$7,3,FALSE)</f>
        <v/>
      </c>
      <c r="H11">
        <f>PROPER(TRIM('Raw Orders'!F11))</f>
        <v/>
      </c>
      <c r="I11" s="4">
        <f>TEXT(B11,"mmm")</f>
        <v/>
      </c>
      <c r="J11" s="3">
        <f>F11*G11</f>
        <v/>
      </c>
      <c r="K11" s="4">
        <f>IF(J11&gt;=100000,"High-Value","Standard")</f>
        <v/>
      </c>
    </row>
    <row r="12">
      <c r="A12">
        <f>'Raw Orders'!A12</f>
        <v/>
      </c>
      <c r="B12" s="2">
        <f>'Raw Orders'!B12</f>
        <v/>
      </c>
      <c r="C12">
        <f>PROPER(TRIM('Raw Orders'!C12))</f>
        <v/>
      </c>
      <c r="D12">
        <f>PROPER(TRIM('Raw Orders'!D12))</f>
        <v/>
      </c>
      <c r="E12">
        <f>VLOOKUP(D12,Products!$A$2:$C$7,2,FALSE)</f>
        <v/>
      </c>
      <c r="F12" s="4">
        <f>'Raw Orders'!E12</f>
        <v/>
      </c>
      <c r="G12" s="3">
        <f>VLOOKUP(D12,Products!$A$2:$C$7,3,FALSE)</f>
        <v/>
      </c>
      <c r="H12">
        <f>PROPER(TRIM('Raw Orders'!F12))</f>
        <v/>
      </c>
      <c r="I12" s="4">
        <f>TEXT(B12,"mmm")</f>
        <v/>
      </c>
      <c r="J12" s="3">
        <f>F12*G12</f>
        <v/>
      </c>
      <c r="K12" s="4">
        <f>IF(J12&gt;=100000,"High-Value","Standard")</f>
        <v/>
      </c>
    </row>
    <row r="13">
      <c r="A13">
        <f>'Raw Orders'!A13</f>
        <v/>
      </c>
      <c r="B13" s="2">
        <f>'Raw Orders'!B13</f>
        <v/>
      </c>
      <c r="C13">
        <f>PROPER(TRIM('Raw Orders'!C13))</f>
        <v/>
      </c>
      <c r="D13">
        <f>PROPER(TRIM('Raw Orders'!D13))</f>
        <v/>
      </c>
      <c r="E13">
        <f>VLOOKUP(D13,Products!$A$2:$C$7,2,FALSE)</f>
        <v/>
      </c>
      <c r="F13" s="4">
        <f>'Raw Orders'!E13</f>
        <v/>
      </c>
      <c r="G13" s="3">
        <f>VLOOKUP(D13,Products!$A$2:$C$7,3,FALSE)</f>
        <v/>
      </c>
      <c r="H13">
        <f>PROPER(TRIM('Raw Orders'!F13))</f>
        <v/>
      </c>
      <c r="I13" s="4">
        <f>TEXT(B13,"mmm")</f>
        <v/>
      </c>
      <c r="J13" s="3">
        <f>F13*G13</f>
        <v/>
      </c>
      <c r="K13" s="4">
        <f>IF(J13&gt;=100000,"High-Value","Standard")</f>
        <v/>
      </c>
    </row>
    <row r="14">
      <c r="A14">
        <f>'Raw Orders'!A14</f>
        <v/>
      </c>
      <c r="B14" s="2">
        <f>'Raw Orders'!B14</f>
        <v/>
      </c>
      <c r="C14">
        <f>PROPER(TRIM('Raw Orders'!C14))</f>
        <v/>
      </c>
      <c r="D14">
        <f>PROPER(TRIM('Raw Orders'!D14))</f>
        <v/>
      </c>
      <c r="E14">
        <f>VLOOKUP(D14,Products!$A$2:$C$7,2,FALSE)</f>
        <v/>
      </c>
      <c r="F14" s="4">
        <f>'Raw Orders'!E14</f>
        <v/>
      </c>
      <c r="G14" s="3">
        <f>VLOOKUP(D14,Products!$A$2:$C$7,3,FALSE)</f>
        <v/>
      </c>
      <c r="H14">
        <f>PROPER(TRIM('Raw Orders'!F14))</f>
        <v/>
      </c>
      <c r="I14" s="4">
        <f>TEXT(B14,"mmm")</f>
        <v/>
      </c>
      <c r="J14" s="3">
        <f>F14*G14</f>
        <v/>
      </c>
      <c r="K14" s="4">
        <f>IF(J14&gt;=100000,"High-Value","Standard")</f>
        <v/>
      </c>
    </row>
    <row r="15">
      <c r="A15">
        <f>'Raw Orders'!A15</f>
        <v/>
      </c>
      <c r="B15" s="2">
        <f>'Raw Orders'!B15</f>
        <v/>
      </c>
      <c r="C15">
        <f>PROPER(TRIM('Raw Orders'!C15))</f>
        <v/>
      </c>
      <c r="D15">
        <f>PROPER(TRIM('Raw Orders'!D15))</f>
        <v/>
      </c>
      <c r="E15">
        <f>VLOOKUP(D15,Products!$A$2:$C$7,2,FALSE)</f>
        <v/>
      </c>
      <c r="F15" s="4">
        <f>'Raw Orders'!E15</f>
        <v/>
      </c>
      <c r="G15" s="3">
        <f>VLOOKUP(D15,Products!$A$2:$C$7,3,FALSE)</f>
        <v/>
      </c>
      <c r="H15">
        <f>PROPER(TRIM('Raw Orders'!F15))</f>
        <v/>
      </c>
      <c r="I15" s="4">
        <f>TEXT(B15,"mmm")</f>
        <v/>
      </c>
      <c r="J15" s="3">
        <f>F15*G15</f>
        <v/>
      </c>
      <c r="K15" s="4">
        <f>IF(J15&gt;=100000,"High-Value","Standard")</f>
        <v/>
      </c>
    </row>
    <row r="16">
      <c r="A16">
        <f>'Raw Orders'!A16</f>
        <v/>
      </c>
      <c r="B16" s="2">
        <f>'Raw Orders'!B16</f>
        <v/>
      </c>
      <c r="C16">
        <f>PROPER(TRIM('Raw Orders'!C16))</f>
        <v/>
      </c>
      <c r="D16">
        <f>PROPER(TRIM('Raw Orders'!D16))</f>
        <v/>
      </c>
      <c r="E16">
        <f>VLOOKUP(D16,Products!$A$2:$C$7,2,FALSE)</f>
        <v/>
      </c>
      <c r="F16" s="4">
        <f>'Raw Orders'!E16</f>
        <v/>
      </c>
      <c r="G16" s="3">
        <f>VLOOKUP(D16,Products!$A$2:$C$7,3,FALSE)</f>
        <v/>
      </c>
      <c r="H16">
        <f>PROPER(TRIM('Raw Orders'!F16))</f>
        <v/>
      </c>
      <c r="I16" s="4">
        <f>TEXT(B16,"mmm")</f>
        <v/>
      </c>
      <c r="J16" s="3">
        <f>F16*G16</f>
        <v/>
      </c>
      <c r="K16" s="4">
        <f>IF(J16&gt;=100000,"High-Value","Standard")</f>
        <v/>
      </c>
    </row>
    <row r="17">
      <c r="A17">
        <f>'Raw Orders'!A17</f>
        <v/>
      </c>
      <c r="B17" s="2">
        <f>'Raw Orders'!B17</f>
        <v/>
      </c>
      <c r="C17">
        <f>PROPER(TRIM('Raw Orders'!C17))</f>
        <v/>
      </c>
      <c r="D17">
        <f>PROPER(TRIM('Raw Orders'!D17))</f>
        <v/>
      </c>
      <c r="E17">
        <f>VLOOKUP(D17,Products!$A$2:$C$7,2,FALSE)</f>
        <v/>
      </c>
      <c r="F17" s="4">
        <f>'Raw Orders'!E17</f>
        <v/>
      </c>
      <c r="G17" s="3">
        <f>VLOOKUP(D17,Products!$A$2:$C$7,3,FALSE)</f>
        <v/>
      </c>
      <c r="H17">
        <f>PROPER(TRIM('Raw Orders'!F17))</f>
        <v/>
      </c>
      <c r="I17" s="4">
        <f>TEXT(B17,"mmm")</f>
        <v/>
      </c>
      <c r="J17" s="3">
        <f>F17*G17</f>
        <v/>
      </c>
      <c r="K17" s="4">
        <f>IF(J17&gt;=100000,"High-Value","Standard")</f>
        <v/>
      </c>
    </row>
    <row r="18">
      <c r="A18">
        <f>'Raw Orders'!A18</f>
        <v/>
      </c>
      <c r="B18" s="2">
        <f>'Raw Orders'!B18</f>
        <v/>
      </c>
      <c r="C18">
        <f>PROPER(TRIM('Raw Orders'!C18))</f>
        <v/>
      </c>
      <c r="D18">
        <f>PROPER(TRIM('Raw Orders'!D18))</f>
        <v/>
      </c>
      <c r="E18">
        <f>VLOOKUP(D18,Products!$A$2:$C$7,2,FALSE)</f>
        <v/>
      </c>
      <c r="F18" s="4">
        <f>'Raw Orders'!E18</f>
        <v/>
      </c>
      <c r="G18" s="3">
        <f>VLOOKUP(D18,Products!$A$2:$C$7,3,FALSE)</f>
        <v/>
      </c>
      <c r="H18">
        <f>PROPER(TRIM('Raw Orders'!F18))</f>
        <v/>
      </c>
      <c r="I18" s="4">
        <f>TEXT(B18,"mmm")</f>
        <v/>
      </c>
      <c r="J18" s="3">
        <f>F18*G18</f>
        <v/>
      </c>
      <c r="K18" s="4">
        <f>IF(J18&gt;=100000,"High-Value","Standard")</f>
        <v/>
      </c>
    </row>
    <row r="19">
      <c r="A19">
        <f>'Raw Orders'!A19</f>
        <v/>
      </c>
      <c r="B19" s="2">
        <f>'Raw Orders'!B19</f>
        <v/>
      </c>
      <c r="C19">
        <f>PROPER(TRIM('Raw Orders'!C19))</f>
        <v/>
      </c>
      <c r="D19">
        <f>PROPER(TRIM('Raw Orders'!D19))</f>
        <v/>
      </c>
      <c r="E19">
        <f>VLOOKUP(D19,Products!$A$2:$C$7,2,FALSE)</f>
        <v/>
      </c>
      <c r="F19" s="4">
        <f>'Raw Orders'!E19</f>
        <v/>
      </c>
      <c r="G19" s="3">
        <f>VLOOKUP(D19,Products!$A$2:$C$7,3,FALSE)</f>
        <v/>
      </c>
      <c r="H19">
        <f>PROPER(TRIM('Raw Orders'!F19))</f>
        <v/>
      </c>
      <c r="I19" s="4">
        <f>TEXT(B19,"mmm")</f>
        <v/>
      </c>
      <c r="J19" s="3">
        <f>F19*G19</f>
        <v/>
      </c>
      <c r="K19" s="4">
        <f>IF(J19&gt;=100000,"High-Value","Standard")</f>
        <v/>
      </c>
    </row>
    <row r="20">
      <c r="A20">
        <f>'Raw Orders'!A20</f>
        <v/>
      </c>
      <c r="B20" s="2">
        <f>'Raw Orders'!B20</f>
        <v/>
      </c>
      <c r="C20">
        <f>PROPER(TRIM('Raw Orders'!C20))</f>
        <v/>
      </c>
      <c r="D20">
        <f>PROPER(TRIM('Raw Orders'!D20))</f>
        <v/>
      </c>
      <c r="E20">
        <f>VLOOKUP(D20,Products!$A$2:$C$7,2,FALSE)</f>
        <v/>
      </c>
      <c r="F20" s="4">
        <f>'Raw Orders'!E20</f>
        <v/>
      </c>
      <c r="G20" s="3">
        <f>VLOOKUP(D20,Products!$A$2:$C$7,3,FALSE)</f>
        <v/>
      </c>
      <c r="H20">
        <f>PROPER(TRIM('Raw Orders'!F20))</f>
        <v/>
      </c>
      <c r="I20" s="4">
        <f>TEXT(B20,"mmm")</f>
        <v/>
      </c>
      <c r="J20" s="3">
        <f>F20*G20</f>
        <v/>
      </c>
      <c r="K20" s="4">
        <f>IF(J20&gt;=100000,"High-Value","Standard")</f>
        <v/>
      </c>
    </row>
    <row r="21">
      <c r="A21">
        <f>'Raw Orders'!A21</f>
        <v/>
      </c>
      <c r="B21" s="2">
        <f>'Raw Orders'!B21</f>
        <v/>
      </c>
      <c r="C21">
        <f>PROPER(TRIM('Raw Orders'!C21))</f>
        <v/>
      </c>
      <c r="D21">
        <f>PROPER(TRIM('Raw Orders'!D21))</f>
        <v/>
      </c>
      <c r="E21">
        <f>VLOOKUP(D21,Products!$A$2:$C$7,2,FALSE)</f>
        <v/>
      </c>
      <c r="F21" s="4">
        <f>'Raw Orders'!E21</f>
        <v/>
      </c>
      <c r="G21" s="3">
        <f>VLOOKUP(D21,Products!$A$2:$C$7,3,FALSE)</f>
        <v/>
      </c>
      <c r="H21">
        <f>PROPER(TRIM('Raw Orders'!F21))</f>
        <v/>
      </c>
      <c r="I21" s="4">
        <f>TEXT(B21,"mmm")</f>
        <v/>
      </c>
      <c r="J21" s="3">
        <f>F21*G21</f>
        <v/>
      </c>
      <c r="K21" s="4">
        <f>IF(J21&gt;=100000,"High-Value","Standard")</f>
        <v/>
      </c>
    </row>
    <row r="22">
      <c r="A22">
        <f>'Raw Orders'!A22</f>
        <v/>
      </c>
      <c r="B22" s="2">
        <f>'Raw Orders'!B22</f>
        <v/>
      </c>
      <c r="C22">
        <f>PROPER(TRIM('Raw Orders'!C22))</f>
        <v/>
      </c>
      <c r="D22">
        <f>PROPER(TRIM('Raw Orders'!D22))</f>
        <v/>
      </c>
      <c r="E22">
        <f>VLOOKUP(D22,Products!$A$2:$C$7,2,FALSE)</f>
        <v/>
      </c>
      <c r="F22" s="4">
        <f>'Raw Orders'!E22</f>
        <v/>
      </c>
      <c r="G22" s="3">
        <f>VLOOKUP(D22,Products!$A$2:$C$7,3,FALSE)</f>
        <v/>
      </c>
      <c r="H22">
        <f>PROPER(TRIM('Raw Orders'!F22))</f>
        <v/>
      </c>
      <c r="I22" s="4">
        <f>TEXT(B22,"mmm")</f>
        <v/>
      </c>
      <c r="J22" s="3">
        <f>F22*G22</f>
        <v/>
      </c>
      <c r="K22" s="4">
        <f>IF(J22&gt;=100000,"High-Value","Standard")</f>
        <v/>
      </c>
    </row>
    <row r="23">
      <c r="A23">
        <f>'Raw Orders'!A23</f>
        <v/>
      </c>
      <c r="B23" s="2">
        <f>'Raw Orders'!B23</f>
        <v/>
      </c>
      <c r="C23">
        <f>PROPER(TRIM('Raw Orders'!C23))</f>
        <v/>
      </c>
      <c r="D23">
        <f>PROPER(TRIM('Raw Orders'!D23))</f>
        <v/>
      </c>
      <c r="E23">
        <f>VLOOKUP(D23,Products!$A$2:$C$7,2,FALSE)</f>
        <v/>
      </c>
      <c r="F23" s="4">
        <f>'Raw Orders'!E23</f>
        <v/>
      </c>
      <c r="G23" s="3">
        <f>VLOOKUP(D23,Products!$A$2:$C$7,3,FALSE)</f>
        <v/>
      </c>
      <c r="H23">
        <f>PROPER(TRIM('Raw Orders'!F23))</f>
        <v/>
      </c>
      <c r="I23" s="4">
        <f>TEXT(B23,"mmm")</f>
        <v/>
      </c>
      <c r="J23" s="3">
        <f>F23*G23</f>
        <v/>
      </c>
      <c r="K23" s="4">
        <f>IF(J23&gt;=100000,"High-Value","Standard")</f>
        <v/>
      </c>
    </row>
    <row r="24">
      <c r="A24">
        <f>'Raw Orders'!A24</f>
        <v/>
      </c>
      <c r="B24" s="2">
        <f>'Raw Orders'!B24</f>
        <v/>
      </c>
      <c r="C24">
        <f>PROPER(TRIM('Raw Orders'!C24))</f>
        <v/>
      </c>
      <c r="D24">
        <f>PROPER(TRIM('Raw Orders'!D24))</f>
        <v/>
      </c>
      <c r="E24">
        <f>VLOOKUP(D24,Products!$A$2:$C$7,2,FALSE)</f>
        <v/>
      </c>
      <c r="F24" s="4">
        <f>'Raw Orders'!E24</f>
        <v/>
      </c>
      <c r="G24" s="3">
        <f>VLOOKUP(D24,Products!$A$2:$C$7,3,FALSE)</f>
        <v/>
      </c>
      <c r="H24">
        <f>PROPER(TRIM('Raw Orders'!F24))</f>
        <v/>
      </c>
      <c r="I24" s="4">
        <f>TEXT(B24,"mmm")</f>
        <v/>
      </c>
      <c r="J24" s="3">
        <f>F24*G24</f>
        <v/>
      </c>
      <c r="K24" s="4">
        <f>IF(J24&gt;=100000,"High-Value","Standard")</f>
        <v/>
      </c>
    </row>
    <row r="25">
      <c r="A25">
        <f>'Raw Orders'!A25</f>
        <v/>
      </c>
      <c r="B25" s="2">
        <f>'Raw Orders'!B25</f>
        <v/>
      </c>
      <c r="C25">
        <f>PROPER(TRIM('Raw Orders'!C25))</f>
        <v/>
      </c>
      <c r="D25">
        <f>PROPER(TRIM('Raw Orders'!D25))</f>
        <v/>
      </c>
      <c r="E25">
        <f>VLOOKUP(D25,Products!$A$2:$C$7,2,FALSE)</f>
        <v/>
      </c>
      <c r="F25" s="4">
        <f>'Raw Orders'!E25</f>
        <v/>
      </c>
      <c r="G25" s="3">
        <f>VLOOKUP(D25,Products!$A$2:$C$7,3,FALSE)</f>
        <v/>
      </c>
      <c r="H25">
        <f>PROPER(TRIM('Raw Orders'!F25))</f>
        <v/>
      </c>
      <c r="I25" s="4">
        <f>TEXT(B25,"mmm")</f>
        <v/>
      </c>
      <c r="J25" s="3">
        <f>F25*G25</f>
        <v/>
      </c>
      <c r="K25" s="4">
        <f>IF(J25&gt;=100000,"High-Value","Standard")</f>
        <v/>
      </c>
    </row>
    <row r="26">
      <c r="A26">
        <f>'Raw Orders'!A26</f>
        <v/>
      </c>
      <c r="B26" s="2">
        <f>'Raw Orders'!B26</f>
        <v/>
      </c>
      <c r="C26">
        <f>PROPER(TRIM('Raw Orders'!C26))</f>
        <v/>
      </c>
      <c r="D26">
        <f>PROPER(TRIM('Raw Orders'!D26))</f>
        <v/>
      </c>
      <c r="E26">
        <f>VLOOKUP(D26,Products!$A$2:$C$7,2,FALSE)</f>
        <v/>
      </c>
      <c r="F26" s="4">
        <f>'Raw Orders'!E26</f>
        <v/>
      </c>
      <c r="G26" s="3">
        <f>VLOOKUP(D26,Products!$A$2:$C$7,3,FALSE)</f>
        <v/>
      </c>
      <c r="H26">
        <f>PROPER(TRIM('Raw Orders'!F26))</f>
        <v/>
      </c>
      <c r="I26" s="4">
        <f>TEXT(B26,"mmm")</f>
        <v/>
      </c>
      <c r="J26" s="3">
        <f>F26*G26</f>
        <v/>
      </c>
      <c r="K26" s="4">
        <f>IF(J26&gt;=100000,"High-Value","Standard")</f>
        <v/>
      </c>
    </row>
    <row r="27">
      <c r="A27">
        <f>'Raw Orders'!A27</f>
        <v/>
      </c>
      <c r="B27" s="2">
        <f>'Raw Orders'!B27</f>
        <v/>
      </c>
      <c r="C27">
        <f>PROPER(TRIM('Raw Orders'!C27))</f>
        <v/>
      </c>
      <c r="D27">
        <f>PROPER(TRIM('Raw Orders'!D27))</f>
        <v/>
      </c>
      <c r="E27">
        <f>VLOOKUP(D27,Products!$A$2:$C$7,2,FALSE)</f>
        <v/>
      </c>
      <c r="F27" s="4">
        <f>'Raw Orders'!E27</f>
        <v/>
      </c>
      <c r="G27" s="3">
        <f>VLOOKUP(D27,Products!$A$2:$C$7,3,FALSE)</f>
        <v/>
      </c>
      <c r="H27">
        <f>PROPER(TRIM('Raw Orders'!F27))</f>
        <v/>
      </c>
      <c r="I27" s="4">
        <f>TEXT(B27,"mmm")</f>
        <v/>
      </c>
      <c r="J27" s="3">
        <f>F27*G27</f>
        <v/>
      </c>
      <c r="K27" s="4">
        <f>IF(J27&gt;=100000,"High-Value","Standard")</f>
        <v/>
      </c>
    </row>
    <row r="28">
      <c r="A28">
        <f>'Raw Orders'!A28</f>
        <v/>
      </c>
      <c r="B28" s="2">
        <f>'Raw Orders'!B28</f>
        <v/>
      </c>
      <c r="C28">
        <f>PROPER(TRIM('Raw Orders'!C28))</f>
        <v/>
      </c>
      <c r="D28">
        <f>PROPER(TRIM('Raw Orders'!D28))</f>
        <v/>
      </c>
      <c r="E28">
        <f>VLOOKUP(D28,Products!$A$2:$C$7,2,FALSE)</f>
        <v/>
      </c>
      <c r="F28" s="4">
        <f>'Raw Orders'!E28</f>
        <v/>
      </c>
      <c r="G28" s="3">
        <f>VLOOKUP(D28,Products!$A$2:$C$7,3,FALSE)</f>
        <v/>
      </c>
      <c r="H28">
        <f>PROPER(TRIM('Raw Orders'!F28))</f>
        <v/>
      </c>
      <c r="I28" s="4">
        <f>TEXT(B28,"mmm")</f>
        <v/>
      </c>
      <c r="J28" s="3">
        <f>F28*G28</f>
        <v/>
      </c>
      <c r="K28" s="4">
        <f>IF(J28&gt;=100000,"High-Value","Standard")</f>
        <v/>
      </c>
    </row>
    <row r="29">
      <c r="A29">
        <f>'Raw Orders'!A29</f>
        <v/>
      </c>
      <c r="B29" s="2">
        <f>'Raw Orders'!B29</f>
        <v/>
      </c>
      <c r="C29">
        <f>PROPER(TRIM('Raw Orders'!C29))</f>
        <v/>
      </c>
      <c r="D29">
        <f>PROPER(TRIM('Raw Orders'!D29))</f>
        <v/>
      </c>
      <c r="E29">
        <f>VLOOKUP(D29,Products!$A$2:$C$7,2,FALSE)</f>
        <v/>
      </c>
      <c r="F29" s="4">
        <f>'Raw Orders'!E29</f>
        <v/>
      </c>
      <c r="G29" s="3">
        <f>VLOOKUP(D29,Products!$A$2:$C$7,3,FALSE)</f>
        <v/>
      </c>
      <c r="H29">
        <f>PROPER(TRIM('Raw Orders'!F29))</f>
        <v/>
      </c>
      <c r="I29" s="4">
        <f>TEXT(B29,"mmm")</f>
        <v/>
      </c>
      <c r="J29" s="3">
        <f>F29*G29</f>
        <v/>
      </c>
      <c r="K29" s="4">
        <f>IF(J29&gt;=100000,"High-Value","Standard")</f>
        <v/>
      </c>
    </row>
    <row r="30">
      <c r="A30">
        <f>'Raw Orders'!A30</f>
        <v/>
      </c>
      <c r="B30" s="2">
        <f>'Raw Orders'!B30</f>
        <v/>
      </c>
      <c r="C30">
        <f>PROPER(TRIM('Raw Orders'!C30))</f>
        <v/>
      </c>
      <c r="D30">
        <f>PROPER(TRIM('Raw Orders'!D30))</f>
        <v/>
      </c>
      <c r="E30">
        <f>VLOOKUP(D30,Products!$A$2:$C$7,2,FALSE)</f>
        <v/>
      </c>
      <c r="F30" s="4">
        <f>'Raw Orders'!E30</f>
        <v/>
      </c>
      <c r="G30" s="3">
        <f>VLOOKUP(D30,Products!$A$2:$C$7,3,FALSE)</f>
        <v/>
      </c>
      <c r="H30">
        <f>PROPER(TRIM('Raw Orders'!F30))</f>
        <v/>
      </c>
      <c r="I30" s="4">
        <f>TEXT(B30,"mmm")</f>
        <v/>
      </c>
      <c r="J30" s="3">
        <f>F30*G30</f>
        <v/>
      </c>
      <c r="K30" s="4">
        <f>IF(J30&gt;=100000,"High-Value","Standard")</f>
        <v/>
      </c>
    </row>
    <row r="31">
      <c r="A31">
        <f>'Raw Orders'!A31</f>
        <v/>
      </c>
      <c r="B31" s="2">
        <f>'Raw Orders'!B31</f>
        <v/>
      </c>
      <c r="C31">
        <f>PROPER(TRIM('Raw Orders'!C31))</f>
        <v/>
      </c>
      <c r="D31">
        <f>PROPER(TRIM('Raw Orders'!D31))</f>
        <v/>
      </c>
      <c r="E31">
        <f>VLOOKUP(D31,Products!$A$2:$C$7,2,FALSE)</f>
        <v/>
      </c>
      <c r="F31" s="4">
        <f>'Raw Orders'!E31</f>
        <v/>
      </c>
      <c r="G31" s="3">
        <f>VLOOKUP(D31,Products!$A$2:$C$7,3,FALSE)</f>
        <v/>
      </c>
      <c r="H31">
        <f>PROPER(TRIM('Raw Orders'!F31))</f>
        <v/>
      </c>
      <c r="I31" s="4">
        <f>TEXT(B31,"mmm")</f>
        <v/>
      </c>
      <c r="J31" s="3">
        <f>F31*G31</f>
        <v/>
      </c>
      <c r="K31" s="4">
        <f>IF(J31&gt;=100000,"High-Value","Standard")</f>
        <v/>
      </c>
    </row>
    <row r="32">
      <c r="A32">
        <f>'Raw Orders'!A32</f>
        <v/>
      </c>
      <c r="B32" s="2">
        <f>'Raw Orders'!B32</f>
        <v/>
      </c>
      <c r="C32">
        <f>PROPER(TRIM('Raw Orders'!C32))</f>
        <v/>
      </c>
      <c r="D32">
        <f>PROPER(TRIM('Raw Orders'!D32))</f>
        <v/>
      </c>
      <c r="E32">
        <f>VLOOKUP(D32,Products!$A$2:$C$7,2,FALSE)</f>
        <v/>
      </c>
      <c r="F32" s="4">
        <f>'Raw Orders'!E32</f>
        <v/>
      </c>
      <c r="G32" s="3">
        <f>VLOOKUP(D32,Products!$A$2:$C$7,3,FALSE)</f>
        <v/>
      </c>
      <c r="H32">
        <f>PROPER(TRIM('Raw Orders'!F32))</f>
        <v/>
      </c>
      <c r="I32" s="4">
        <f>TEXT(B32,"mmm")</f>
        <v/>
      </c>
      <c r="J32" s="3">
        <f>F32*G32</f>
        <v/>
      </c>
      <c r="K32" s="4">
        <f>IF(J32&gt;=100000,"High-Value","Standard")</f>
        <v/>
      </c>
    </row>
    <row r="33">
      <c r="A33">
        <f>'Raw Orders'!A33</f>
        <v/>
      </c>
      <c r="B33" s="2">
        <f>'Raw Orders'!B33</f>
        <v/>
      </c>
      <c r="C33">
        <f>PROPER(TRIM('Raw Orders'!C33))</f>
        <v/>
      </c>
      <c r="D33">
        <f>PROPER(TRIM('Raw Orders'!D33))</f>
        <v/>
      </c>
      <c r="E33">
        <f>VLOOKUP(D33,Products!$A$2:$C$7,2,FALSE)</f>
        <v/>
      </c>
      <c r="F33" s="4">
        <f>'Raw Orders'!E33</f>
        <v/>
      </c>
      <c r="G33" s="3">
        <f>VLOOKUP(D33,Products!$A$2:$C$7,3,FALSE)</f>
        <v/>
      </c>
      <c r="H33">
        <f>PROPER(TRIM('Raw Orders'!F33))</f>
        <v/>
      </c>
      <c r="I33" s="4">
        <f>TEXT(B33,"mmm")</f>
        <v/>
      </c>
      <c r="J33" s="3">
        <f>F33*G33</f>
        <v/>
      </c>
      <c r="K33" s="4">
        <f>IF(J33&gt;=100000,"High-Value","Standard")</f>
        <v/>
      </c>
    </row>
  </sheetData>
  <conditionalFormatting sqref="K2:K33">
    <cfRule type="expression" priority="1" dxfId="0">
      <formula>$K2="High-Value"</formula>
    </cfRule>
  </conditionalFormatting>
  <dataValidations count="1">
    <dataValidation sqref="H2:H33" showDropDown="0" showInputMessage="0" showErrorMessage="1" allowBlank="1" errorTitle="Invalid Segment" error="Segment must be Premium, Regular, or Corporate" type="list">
      <formula1>"Premium,Regular,Corporate"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14" customWidth="1" min="1" max="1"/>
    <col width="13" customWidth="1" min="2" max="2"/>
    <col width="3" customWidth="1" min="3" max="3"/>
    <col width="14" customWidth="1" min="4" max="4"/>
    <col width="13" customWidth="1" min="5" max="5"/>
    <col width="3" customWidth="1" min="6" max="6"/>
    <col width="9" customWidth="1" min="7" max="7"/>
    <col width="13" customWidth="1" min="8" max="8"/>
  </cols>
  <sheetData>
    <row r="1">
      <c r="A1" s="5" t="inlineStr">
        <is>
          <t>RetailEdge — Sales Performance Report</t>
        </is>
      </c>
    </row>
    <row r="3">
      <c r="A3" s="6" t="inlineStr">
        <is>
          <t>Key Performance Indicators</t>
        </is>
      </c>
    </row>
    <row r="4">
      <c r="A4" s="7" t="inlineStr">
        <is>
          <t>Total Revenue</t>
        </is>
      </c>
      <c r="B4" s="8">
        <f>SUM(Orders!$J$2:$J$33)</f>
        <v/>
      </c>
    </row>
    <row r="5">
      <c r="A5" s="7" t="inlineStr">
        <is>
          <t>Average Order Value</t>
        </is>
      </c>
      <c r="B5" s="8">
        <f>AVERAGE(Orders!$J$2:$J$33)</f>
        <v/>
      </c>
    </row>
    <row r="6">
      <c r="A6" s="7" t="inlineStr">
        <is>
          <t>Order Count</t>
        </is>
      </c>
      <c r="B6" s="9">
        <f>COUNTA(Orders!$A$2:$A$33)</f>
        <v/>
      </c>
    </row>
    <row r="7">
      <c r="A7" s="7" t="inlineStr">
        <is>
          <t>Largest Order</t>
        </is>
      </c>
      <c r="B7" s="8">
        <f>MAX(Orders!$J$2:$J$33)</f>
        <v/>
      </c>
    </row>
    <row r="8">
      <c r="A8" s="7" t="inlineStr">
        <is>
          <t>Smallest Order</t>
        </is>
      </c>
      <c r="B8" s="8">
        <f>MIN(Orders!$J$2:$J$33)</f>
        <v/>
      </c>
    </row>
    <row r="10">
      <c r="A10" s="6" t="inlineStr">
        <is>
          <t>Revenue by Region</t>
        </is>
      </c>
      <c r="D10" s="6" t="inlineStr">
        <is>
          <t>Revenue by Category</t>
        </is>
      </c>
      <c r="G10" s="6" t="inlineStr">
        <is>
          <t>Revenue by Month</t>
        </is>
      </c>
    </row>
    <row r="11">
      <c r="A11" s="1" t="inlineStr">
        <is>
          <t>Group</t>
        </is>
      </c>
      <c r="B11" s="1" t="inlineStr">
        <is>
          <t>Revenue</t>
        </is>
      </c>
      <c r="D11" s="1" t="inlineStr">
        <is>
          <t>Group</t>
        </is>
      </c>
      <c r="E11" s="1" t="inlineStr">
        <is>
          <t>Revenue</t>
        </is>
      </c>
      <c r="G11" s="1" t="inlineStr">
        <is>
          <t>Group</t>
        </is>
      </c>
      <c r="H11" s="1" t="inlineStr">
        <is>
          <t>Revenue</t>
        </is>
      </c>
    </row>
    <row r="12">
      <c r="A12" s="10" t="inlineStr">
        <is>
          <t>North</t>
        </is>
      </c>
      <c r="B12" s="8">
        <f>SUMIF(Orders!$C$2:$C$33,A12,Orders!$J$2:$J$33)</f>
        <v/>
      </c>
      <c r="D12" s="10" t="inlineStr">
        <is>
          <t>Computers</t>
        </is>
      </c>
      <c r="E12" s="8">
        <f>SUMIF(Orders!$E$2:$E$33,D12,Orders!$J$2:$J$33)</f>
        <v/>
      </c>
      <c r="G12" s="10" t="inlineStr">
        <is>
          <t>Jan</t>
        </is>
      </c>
      <c r="H12" s="8">
        <f>SUMIF(Orders!$I$2:$I$33,G12,Orders!$J$2:$J$33)</f>
        <v/>
      </c>
    </row>
    <row r="13">
      <c r="A13" s="10" t="inlineStr">
        <is>
          <t>South</t>
        </is>
      </c>
      <c r="B13" s="8">
        <f>SUMIF(Orders!$C$2:$C$33,A13,Orders!$J$2:$J$33)</f>
        <v/>
      </c>
      <c r="D13" s="10" t="inlineStr">
        <is>
          <t>Mobile</t>
        </is>
      </c>
      <c r="E13" s="8">
        <f>SUMIF(Orders!$E$2:$E$33,D13,Orders!$J$2:$J$33)</f>
        <v/>
      </c>
      <c r="G13" s="10" t="inlineStr">
        <is>
          <t>Feb</t>
        </is>
      </c>
      <c r="H13" s="8">
        <f>SUMIF(Orders!$I$2:$I$33,G13,Orders!$J$2:$J$33)</f>
        <v/>
      </c>
    </row>
    <row r="14">
      <c r="A14" s="10" t="inlineStr">
        <is>
          <t>East</t>
        </is>
      </c>
      <c r="B14" s="8">
        <f>SUMIF(Orders!$C$2:$C$33,A14,Orders!$J$2:$J$33)</f>
        <v/>
      </c>
      <c r="D14" s="10" t="inlineStr">
        <is>
          <t>Accessories</t>
        </is>
      </c>
      <c r="E14" s="8">
        <f>SUMIF(Orders!$E$2:$E$33,D14,Orders!$J$2:$J$33)</f>
        <v/>
      </c>
      <c r="G14" s="10" t="inlineStr">
        <is>
          <t>Mar</t>
        </is>
      </c>
      <c r="H14" s="8">
        <f>SUMIF(Orders!$I$2:$I$33,G14,Orders!$J$2:$J$33)</f>
        <v/>
      </c>
    </row>
    <row r="15">
      <c r="A15" s="10" t="inlineStr">
        <is>
          <t>West</t>
        </is>
      </c>
      <c r="B15" s="8">
        <f>SUMIF(Orders!$C$2:$C$33,A15,Orders!$J$2:$J$33)</f>
        <v/>
      </c>
      <c r="G15" s="10" t="inlineStr">
        <is>
          <t>Apr</t>
        </is>
      </c>
      <c r="H15" s="8">
        <f>SUMIF(Orders!$I$2:$I$33,G15,Orders!$J$2:$J$33)</f>
        <v/>
      </c>
    </row>
    <row r="16">
      <c r="G16" s="10" t="inlineStr">
        <is>
          <t>May</t>
        </is>
      </c>
      <c r="H16" s="8">
        <f>SUMIF(Orders!$I$2:$I$33,G16,Orders!$J$2:$J$33)</f>
        <v/>
      </c>
    </row>
    <row r="19">
      <c r="A19" s="6" t="inlineStr">
        <is>
          <t>Findings &amp; Recommendations</t>
        </is>
      </c>
    </row>
    <row r="20" ht="48" customHeight="1">
      <c r="A20" s="11" t="inlineStr">
        <is>
          <t>Findings: Total revenue is 3,092,500 across 32 orders (average order value 96,641). The strongest region is North, the strongest category is Mobile, and the peak month is May. 12 orders qualify as High-Value (&gt;= 100,000).</t>
        </is>
      </c>
    </row>
    <row r="21" ht="48" customHeight="1">
      <c r="A21" s="11" t="inlineStr">
        <is>
          <t>Recommendation: Concentrate inventory and marketing on the Mobile category and the North region; reinforce the sales conditions that drove the May peak; and investigate the lower-performing West region to close the gap.</t>
        </is>
      </c>
    </row>
  </sheetData>
  <mergeCells count="3">
    <mergeCell ref="A20:H20"/>
    <mergeCell ref="A21:H21"/>
    <mergeCell ref="A1:H1"/>
  </mergeCells>
  <conditionalFormatting sqref="B12:B15">
    <cfRule type="cellIs" priority="1" operator="equal" dxfId="0">
      <formula>MAX($B$12:$B$15)</formula>
    </cfRule>
  </conditionalFormatting>
  <conditionalFormatting sqref="E12:E14">
    <cfRule type="cellIs" priority="2" operator="equal" dxfId="0">
      <formula>MAX($E$12:$E$14)</formula>
    </cfRule>
  </conditionalFormatting>
  <conditionalFormatting sqref="H12:H16">
    <cfRule type="cellIs" priority="3" operator="equal" dxfId="0">
      <formula>MAX($H$12:$H$16)</formula>
    </cfRule>
  </conditionalFormatting>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2026-06-30T12:26:45Z</dcterms:created>
  <dcterms:modified xsi:type="dcterms:W3CDTF">2026-06-30T12:26:45Z</dcterms:modified>
</cp:coreProperties>
</file>