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Region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0" fontId="3" fillId="0" borderId="1" pivotButton="0" quotePrefix="0" xfId="0"/>
    <xf numFmtId="3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 Summary'!B1</f>
            </strRef>
          </tx>
          <spPr>
            <a:ln>
              <a:prstDash val="solid"/>
            </a:ln>
          </spPr>
          <cat>
            <numRef>
              <f>'Regional Summary'!$A$2:$A$4</f>
            </numRef>
          </cat>
          <val>
            <numRef>
              <f>'Regional 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2" customWidth="1" min="4" max="4"/>
    <col width="14" customWidth="1" min="5" max="5"/>
    <col width="3" customWidth="1" min="6" max="6"/>
    <col width="26" customWidth="1" min="7" max="7"/>
    <col width="14" customWidth="1" min="8" max="8"/>
  </cols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Units</t>
        </is>
      </c>
      <c r="D1" s="1" t="inlineStr">
        <is>
          <t>Price</t>
        </is>
      </c>
      <c r="E1" s="1" t="inlineStr">
        <is>
          <t>Revenue</t>
        </is>
      </c>
      <c r="G1" s="2" t="inlineStr">
        <is>
          <t>Headline KPIs</t>
        </is>
      </c>
    </row>
    <row r="2">
      <c r="A2" t="inlineStr">
        <is>
          <t>North</t>
        </is>
      </c>
      <c r="B2" t="inlineStr">
        <is>
          <t>Laptop</t>
        </is>
      </c>
      <c r="C2" t="n">
        <v>5</v>
      </c>
      <c r="D2" s="3" t="n">
        <v>60000</v>
      </c>
      <c r="E2" s="3">
        <f>C2*D2</f>
        <v/>
      </c>
      <c r="G2" s="4" t="inlineStr">
        <is>
          <t>Total Revenue</t>
        </is>
      </c>
      <c r="H2" s="5">
        <f>SUM(E2:E7)</f>
        <v/>
      </c>
    </row>
    <row r="3">
      <c r="A3" t="inlineStr">
        <is>
          <t>South</t>
        </is>
      </c>
      <c r="B3" t="inlineStr">
        <is>
          <t>Phone</t>
        </is>
      </c>
      <c r="C3" t="n">
        <v>20</v>
      </c>
      <c r="D3" s="3" t="n">
        <v>30000</v>
      </c>
      <c r="E3" s="3">
        <f>C3*D3</f>
        <v/>
      </c>
      <c r="G3" s="4" t="inlineStr">
        <is>
          <t>Average Revenue per Order</t>
        </is>
      </c>
      <c r="H3" s="5">
        <f>AVERAGE(E2:E7)</f>
        <v/>
      </c>
    </row>
    <row r="4">
      <c r="A4" t="inlineStr">
        <is>
          <t>East</t>
        </is>
      </c>
      <c r="B4" t="inlineStr">
        <is>
          <t>Laptop</t>
        </is>
      </c>
      <c r="C4" t="n">
        <v>8</v>
      </c>
      <c r="D4" s="3" t="n">
        <v>60000</v>
      </c>
      <c r="E4" s="3">
        <f>C4*D4</f>
        <v/>
      </c>
      <c r="G4" s="4" t="inlineStr">
        <is>
          <t>Largest Order (MAX)</t>
        </is>
      </c>
      <c r="H4" s="5">
        <f>MAX(E2:E7)</f>
        <v/>
      </c>
    </row>
    <row r="5">
      <c r="A5" t="inlineStr">
        <is>
          <t>North</t>
        </is>
      </c>
      <c r="B5" t="inlineStr">
        <is>
          <t>Tablet</t>
        </is>
      </c>
      <c r="C5" t="n">
        <v>15</v>
      </c>
      <c r="D5" s="3" t="n">
        <v>20000</v>
      </c>
      <c r="E5" s="3">
        <f>C5*D5</f>
        <v/>
      </c>
      <c r="G5" s="4" t="inlineStr">
        <is>
          <t>Smallest Order (MIN)</t>
        </is>
      </c>
      <c r="H5" s="5">
        <f>MIN(E2:E7)</f>
        <v/>
      </c>
    </row>
    <row r="6">
      <c r="A6" t="inlineStr">
        <is>
          <t>South</t>
        </is>
      </c>
      <c r="B6" t="inlineStr">
        <is>
          <t>Laptop</t>
        </is>
      </c>
      <c r="C6" t="n">
        <v>3</v>
      </c>
      <c r="D6" s="3" t="n">
        <v>60000</v>
      </c>
      <c r="E6" s="3">
        <f>C6*D6</f>
        <v/>
      </c>
    </row>
    <row r="7">
      <c r="A7" t="inlineStr">
        <is>
          <t>East</t>
        </is>
      </c>
      <c r="B7" t="inlineStr">
        <is>
          <t>Phone</t>
        </is>
      </c>
      <c r="C7" t="n">
        <v>12</v>
      </c>
      <c r="D7" s="3" t="n">
        <v>30000</v>
      </c>
      <c r="E7" s="3">
        <f>C7*D7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Region</t>
        </is>
      </c>
      <c r="B1" s="1" t="inlineStr">
        <is>
          <t>Total Revenue</t>
        </is>
      </c>
    </row>
    <row r="2">
      <c r="A2" s="6" t="inlineStr">
        <is>
          <t>North</t>
        </is>
      </c>
      <c r="B2" s="5">
        <f>SUMIF('Sales Data'!$A$2:$A$7,A2,'Sales Data'!$E$2:$E$7)</f>
        <v/>
      </c>
    </row>
    <row r="3">
      <c r="A3" s="6" t="inlineStr">
        <is>
          <t>South</t>
        </is>
      </c>
      <c r="B3" s="5">
        <f>SUMIF('Sales Data'!$A$2:$A$7,A3,'Sales Data'!$E$2:$E$7)</f>
        <v/>
      </c>
    </row>
    <row r="4">
      <c r="A4" s="6" t="inlineStr">
        <is>
          <t>East</t>
        </is>
      </c>
      <c r="B4" s="5">
        <f>SUMIF('Sales Data'!$A$2:$A$7,A4,'Sales Data'!$E$2:$E$7)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2026-06-30T12:19:53Z</dcterms:created>
  <dcterms:modified xsi:type="dcterms:W3CDTF">2026-06-30T12:19:53Z</dcterms:modified>
</cp:coreProperties>
</file>